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onsultant Matrix" sheetId="1" state="visible" r:id="rId1"/>
    <sheet xmlns:r="http://schemas.openxmlformats.org/officeDocument/2006/relationships" name="Delphi Method" sheetId="2" state="visible" r:id="rId2"/>
    <sheet xmlns:r="http://schemas.openxmlformats.org/officeDocument/2006/relationships" name="Delphi Round 1" sheetId="3" state="visible" r:id="rId3"/>
    <sheet xmlns:r="http://schemas.openxmlformats.org/officeDocument/2006/relationships" name="Delphi Round 2" sheetId="4" state="visible" r:id="rId4"/>
    <sheet xmlns:r="http://schemas.openxmlformats.org/officeDocument/2006/relationships" name="Consensus Summary" sheetId="5" state="visible" r:id="rId5"/>
    <sheet xmlns:r="http://schemas.openxmlformats.org/officeDocument/2006/relationships" name="How this was derived" sheetId="6" state="visible" r:id="rId6"/>
    <sheet xmlns:r="http://schemas.openxmlformats.org/officeDocument/2006/relationships" name="Source Notes" sheetId="7" state="visible" r:id="rId7"/>
  </sheets>
  <definedNames>
    <definedName name="_xlnm._FilterDatabase" localSheetId="2" hidden="1">'Delphi Round 1'!$A$1:$T$223</definedName>
    <definedName name="_xlnm._FilterDatabase" localSheetId="3" hidden="1">'Delphi Round 2'!$A$1:$U$223</definedName>
    <definedName name="_xlnm._FilterDatabase" localSheetId="4" hidden="1">'Consensus Summary'!$A$1:$G$223</definedName>
  </definedNames>
</workbook>
</file>

<file path=xl/styles.xml><?xml version="1.0" encoding="utf-8"?>
<styleSheet xmlns="http://schemas.openxmlformats.org/spreadsheetml/2006/main">
  <numFmts count="0"/>
  <fonts count="11">
    <font>
      <name val="Carlito"/>
      <sz val="11"/>
    </font>
    <font>
      <name val="Carlito"/>
      <b val="1"/>
      <color rgb="FFFFFFFF"/>
      <sz val="10"/>
    </font>
    <font>
      <name val="Carlito"/>
      <sz val="9"/>
    </font>
    <font>
      <name val="Carlito"/>
      <b val="1"/>
      <sz val="9"/>
    </font>
    <font>
      <name val="Carlito"/>
      <b val="1"/>
      <color rgb="FFFFFFFF"/>
      <sz val="15"/>
    </font>
    <font>
      <name val="Carlito"/>
      <b val="1"/>
      <sz val="10"/>
    </font>
    <font>
      <name val="Carlito"/>
      <sz val="10"/>
    </font>
    <font>
      <name val="Carlito"/>
      <b val="1"/>
      <color rgb="FFFFFFFF"/>
      <sz val="11"/>
    </font>
    <font>
      <b val="1"/>
      <color rgb="00FFFFFF"/>
      <sz val="14"/>
    </font>
    <font>
      <b val="1"/>
    </font>
    <font>
      <b val="1"/>
      <color rgb="00FFFFFF"/>
    </font>
  </fonts>
  <fills count="11">
    <fill>
      <patternFill/>
    </fill>
    <fill>
      <patternFill patternType="gray125"/>
    </fill>
    <fill>
      <patternFill patternType="solid">
        <fgColor rgb="FF1F4E78"/>
      </patternFill>
    </fill>
    <fill>
      <patternFill patternType="solid">
        <fgColor rgb="FFFFF2CC"/>
      </patternFill>
    </fill>
    <fill>
      <patternFill patternType="solid">
        <fgColor rgb="FFD9EAF7"/>
      </patternFill>
    </fill>
    <fill>
      <patternFill patternType="solid">
        <fgColor rgb="FF806000"/>
      </patternFill>
    </fill>
    <fill>
      <patternFill patternType="solid">
        <fgColor rgb="FF5B6573"/>
      </patternFill>
    </fill>
    <fill>
      <patternFill patternType="solid">
        <fgColor rgb="001F4E78"/>
      </patternFill>
    </fill>
    <fill>
      <patternFill patternType="solid">
        <fgColor rgb="00D9EAF7"/>
      </patternFill>
    </fill>
    <fill>
      <patternFill patternType="solid">
        <fgColor rgb="00E7E6E6"/>
      </patternFill>
    </fill>
    <fill>
      <patternFill patternType="solid">
        <fgColor rgb="00FFF2CC"/>
      </patternFill>
    </fill>
  </fills>
  <borders count="2">
    <border/>
    <border/>
  </borders>
  <cellStyleXfs count="1">
    <xf numFmtId="0" fontId="0" fillId="0" borderId="1"/>
  </cellStyleXfs>
  <cellXfs count="62">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2" fillId="0" borderId="0" pivotButton="0" quotePrefix="0" xfId="0"/>
    <xf numFmtId="0" fontId="2" fillId="0" borderId="0" applyAlignment="1" pivotButton="0" quotePrefix="0" xfId="0">
      <alignment wrapText="1"/>
    </xf>
    <xf numFmtId="0" fontId="2" fillId="0" borderId="0" applyAlignment="1" pivotButton="0" quotePrefix="0" xfId="0">
      <alignment vertical="top" wrapText="1"/>
    </xf>
    <xf numFmtId="0" fontId="2" fillId="0" borderId="1" pivotButton="0" quotePrefix="0" xfId="0"/>
    <xf numFmtId="0" fontId="2" fillId="0" borderId="1" applyAlignment="1" pivotButton="0" quotePrefix="0" xfId="0">
      <alignment wrapText="1"/>
    </xf>
    <xf numFmtId="0" fontId="2" fillId="0" borderId="1" applyAlignment="1" pivotButton="0" quotePrefix="0" xfId="0">
      <alignment vertical="top" wrapText="1"/>
    </xf>
    <xf numFmtId="0" fontId="3" fillId="0" borderId="0" applyAlignment="1" pivotButton="0" quotePrefix="0" xfId="0">
      <alignment vertical="top" wrapText="1"/>
    </xf>
    <xf numFmtId="0" fontId="3" fillId="0" borderId="1" applyAlignment="1" pivotButton="0" quotePrefix="0" xfId="0">
      <alignment vertical="top" wrapText="1"/>
    </xf>
    <xf numFmtId="0" fontId="2" fillId="3" borderId="0" applyAlignment="1" pivotButton="0" quotePrefix="0" xfId="0">
      <alignment vertical="top" wrapText="1"/>
    </xf>
    <xf numFmtId="0" fontId="2" fillId="3" borderId="1" applyAlignment="1" pivotButton="0" quotePrefix="0" xfId="0">
      <alignment vertical="top" wrapText="1"/>
    </xf>
    <xf numFmtId="0" fontId="4" fillId="2" borderId="0" pivotButton="0" quotePrefix="0" xfId="0"/>
    <xf numFmtId="0" fontId="4" fillId="2" borderId="0" applyAlignment="1" pivotButton="0" quotePrefix="0" xfId="0">
      <alignment vertical="center"/>
    </xf>
    <xf numFmtId="0" fontId="4" fillId="2" borderId="1" pivotButton="0" quotePrefix="0" xfId="0"/>
    <xf numFmtId="0" fontId="4" fillId="2" borderId="1" applyAlignment="1" pivotButton="0" quotePrefix="0" xfId="0">
      <alignment vertical="center"/>
    </xf>
    <xf numFmtId="0" fontId="0" fillId="4" borderId="0" pivotButton="0" quotePrefix="0" xfId="0"/>
    <xf numFmtId="0" fontId="5" fillId="4" borderId="0" pivotButton="0" quotePrefix="0" xfId="0"/>
    <xf numFmtId="0" fontId="5" fillId="4" borderId="0" applyAlignment="1" pivotButton="0" quotePrefix="0" xfId="0">
      <alignment wrapText="1"/>
    </xf>
    <xf numFmtId="0" fontId="5" fillId="4" borderId="0" applyAlignment="1" pivotButton="0" quotePrefix="0" xfId="0">
      <alignment vertical="center" wrapText="1"/>
    </xf>
    <xf numFmtId="0" fontId="0" fillId="4" borderId="1" pivotButton="0" quotePrefix="0" xfId="0"/>
    <xf numFmtId="0" fontId="5" fillId="4" borderId="1" pivotButton="0" quotePrefix="0" xfId="0"/>
    <xf numFmtId="0" fontId="5" fillId="4" borderId="1" applyAlignment="1" pivotButton="0" quotePrefix="0" xfId="0">
      <alignment wrapText="1"/>
    </xf>
    <xf numFmtId="0" fontId="5" fillId="4" borderId="1" applyAlignment="1" pivotButton="0" quotePrefix="0" xfId="0">
      <alignment vertical="center" wrapText="1"/>
    </xf>
    <xf numFmtId="0" fontId="6" fillId="0" borderId="0" pivotButton="0" quotePrefix="0" xfId="0"/>
    <xf numFmtId="0" fontId="6" fillId="0" borderId="0" applyAlignment="1" pivotButton="0" quotePrefix="0" xfId="0">
      <alignment wrapText="1"/>
    </xf>
    <xf numFmtId="0" fontId="6" fillId="0" borderId="0" applyAlignment="1" pivotButton="0" quotePrefix="0" xfId="0">
      <alignment vertical="top" wrapText="1"/>
    </xf>
    <xf numFmtId="0" fontId="6" fillId="0" borderId="1" pivotButton="0" quotePrefix="0" xfId="0"/>
    <xf numFmtId="0" fontId="6" fillId="0" borderId="1" applyAlignment="1" pivotButton="0" quotePrefix="0" xfId="0">
      <alignment wrapText="1"/>
    </xf>
    <xf numFmtId="0" fontId="6" fillId="0" borderId="1" applyAlignment="1" pivotButton="0" quotePrefix="0" xfId="0">
      <alignment vertical="top" wrapText="1"/>
    </xf>
    <xf numFmtId="0" fontId="0" fillId="5" borderId="0" pivotButton="0" quotePrefix="0" xfId="0"/>
    <xf numFmtId="0" fontId="7" fillId="5" borderId="0" pivotButton="0" quotePrefix="0" xfId="0"/>
    <xf numFmtId="0" fontId="0" fillId="5" borderId="1" pivotButton="0" quotePrefix="0" xfId="0"/>
    <xf numFmtId="0" fontId="7" fillId="5" borderId="1" pivotButton="0" quotePrefix="0" xfId="0"/>
    <xf numFmtId="0" fontId="0" fillId="6" borderId="0" pivotButton="0" quotePrefix="0" xfId="0"/>
    <xf numFmtId="0" fontId="1" fillId="6" borderId="0" pivotButton="0" quotePrefix="0" xfId="0"/>
    <xf numFmtId="0" fontId="1" fillId="6" borderId="0" applyAlignment="1" pivotButton="0" quotePrefix="0" xfId="0">
      <alignment wrapText="1"/>
    </xf>
    <xf numFmtId="0" fontId="1" fillId="6" borderId="0" applyAlignment="1" pivotButton="0" quotePrefix="0" xfId="0">
      <alignment horizontal="center" wrapText="1"/>
    </xf>
    <xf numFmtId="0" fontId="1" fillId="6" borderId="0" applyAlignment="1" pivotButton="0" quotePrefix="0" xfId="0">
      <alignment horizontal="center" vertical="center" wrapText="1"/>
    </xf>
    <xf numFmtId="0" fontId="0" fillId="6" borderId="1" pivotButton="0" quotePrefix="0" xfId="0"/>
    <xf numFmtId="0" fontId="1" fillId="6" borderId="1" pivotButton="0" quotePrefix="0" xfId="0"/>
    <xf numFmtId="0" fontId="1" fillId="6" borderId="1" applyAlignment="1" pivotButton="0" quotePrefix="0" xfId="0">
      <alignment wrapText="1"/>
    </xf>
    <xf numFmtId="0" fontId="1" fillId="6" borderId="1" applyAlignment="1" pivotButton="0" quotePrefix="0" xfId="0">
      <alignment horizontal="center" wrapText="1"/>
    </xf>
    <xf numFmtId="0" fontId="1" fillId="6" borderId="1" applyAlignment="1" pivotButton="0" quotePrefix="0" xfId="0">
      <alignment horizontal="center" vertical="center" wrapText="1"/>
    </xf>
    <xf numFmtId="0" fontId="8" fillId="7" borderId="1" applyAlignment="1" pivotButton="0" quotePrefix="0" xfId="0">
      <alignment vertical="top" wrapText="1"/>
    </xf>
    <xf numFmtId="0" fontId="0" fillId="0" borderId="1" applyAlignment="1" pivotButton="0" quotePrefix="0" xfId="0">
      <alignment vertical="top" wrapText="1"/>
    </xf>
    <xf numFmtId="0" fontId="9" fillId="8" borderId="0" applyAlignment="1" pivotButton="0" quotePrefix="0" xfId="0">
      <alignment vertical="top" wrapText="1"/>
    </xf>
    <xf numFmtId="0" fontId="0" fillId="0" borderId="0" applyAlignment="1" pivotButton="0" quotePrefix="0" xfId="0">
      <alignment vertical="top" wrapText="1"/>
    </xf>
    <xf numFmtId="0" fontId="10" fillId="7" borderId="0" applyAlignment="1" pivotButton="0" quotePrefix="0" xfId="0">
      <alignment vertical="top" wrapText="1"/>
    </xf>
    <xf numFmtId="0" fontId="0" fillId="9" borderId="0" applyAlignment="1" pivotButton="0" quotePrefix="0" xfId="0">
      <alignment vertical="top" wrapText="1"/>
    </xf>
    <xf numFmtId="9" fontId="0" fillId="0" borderId="0" applyAlignment="1" pivotButton="0" quotePrefix="0" xfId="0">
      <alignment vertical="top" wrapText="1"/>
    </xf>
    <xf numFmtId="0" fontId="0" fillId="1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54" customWidth="1" min="2" max="2"/>
    <col width="42" customWidth="1" min="3" max="3"/>
    <col width="34" customWidth="1" min="4" max="4"/>
    <col width="44" customWidth="1" min="5" max="5"/>
    <col width="56" customWidth="1" min="6" max="6"/>
  </cols>
  <sheetData>
    <row r="1" ht="38" customHeight="1">
      <c r="A1" s="6" t="inlineStr">
        <is>
          <t>Procedure</t>
        </is>
      </c>
      <c r="B1" s="6" t="inlineStr">
        <is>
          <t>Candidate core risks</t>
        </is>
      </c>
      <c r="C1" s="6" t="inlineStr">
        <is>
          <t>Conditional / patient-specific risks</t>
        </is>
      </c>
      <c r="D1" s="6" t="inlineStr">
        <is>
          <t>Frequency / key evidence</t>
        </is>
      </c>
      <c r="E1" s="6" t="inlineStr">
        <is>
          <t>Main source(s)</t>
        </is>
      </c>
      <c r="F1" s="6" t="inlineStr">
        <is>
          <t>Consultant decision / action</t>
        </is>
      </c>
    </row>
    <row r="2">
      <c r="A2" s="18" t="inlineStr">
        <is>
          <t>Bronchial artery embolisation (BAE)</t>
        </is>
      </c>
      <c r="B2" s="14" t="inlineStr">
        <is>
          <t>Chest discomfort and post-embolisation symptoms; technical failure or recurrent haemoptysis; Bronchial ischaemia/infarction; oesophageal ischaemia; Non-target embolisation causing spinal cord infarction/neurological deficit, stroke, myocardial or other systemic infarction; rare oesophago-bronchial fistula; Access bleeding/haematoma; arterial injury</t>
        </is>
      </c>
      <c r="C2" s="14" t="inlineStr">
        <is>
          <t>Contrast reaction/AKI and radiation exposure when relevant; sedation if used; Anatomy, spinal feeders, shunts, embolic particle size, emergency status</t>
        </is>
      </c>
      <c r="D2" s="14" t="inlineStr">
        <is>
          <t>No transferable universal rate; CIRSE describes major events as rare</t>
        </is>
      </c>
      <c r="E2" s="14" t="inlineStr">
        <is>
          <t>[1] Kettenbach et al. CIRSE Standards of Practice on Bronchial Artery Embolisation. 2022; DOI 10.1007/s00270-022-03127-w; PMID 35396612</t>
        </is>
      </c>
      <c r="F2" s="20" t="inlineStr">
        <is>
          <t>Review candidate core and conditional risks; agree final departmental wording and inclusion. Evidence-review note: Use CIRSE 2022 as lead source; name target-organ consequences rather than listing non-target embolisation alone; chest drain not established as routine risk Verification before finalisation: Verify exact local technique and cite complication passage/page</t>
        </is>
      </c>
    </row>
    <row r="3">
      <c r="A3" s="18" t="inlineStr">
        <is>
          <t>Carotid artery angioplasty and stenting (CAS)</t>
        </is>
      </c>
      <c r="B3" s="14" t="inlineStr">
        <is>
          <t>Access-site bruising/bleeding; transient haemodynamic effects; TIA, stroke, distal embolisation; bradycardia/hypotension; Disabling/fatal stroke; hyperperfusion syndrome/intracranial haemorrhage; carotid dissection, perforation, rupture or acute occlusion; Bleeding/haematoma, pseudoaneurysm, arterial injury or occlusion</t>
        </is>
      </c>
      <c r="C3" s="14" t="inlineStr">
        <is>
          <t>Contrast reaction/AKI and radiation exposure; sedation if used; Symptomatic status, access route, anatomy, age, comorbidity, antiplatelet plan</t>
        </is>
      </c>
      <c r="D3" s="14" t="inlineStr">
        <is>
          <t>Rates differ by patient group and route; do not transfer CEA rates</t>
        </is>
      </c>
      <c r="E3" s="14" t="inlineStr">
        <is>
          <t>[2] CIRSE Standards of Practice on Carotid Artery Stenting. 2024; DOI 10.1007/s00270-024-03707-y; PMID 38683353</t>
        </is>
      </c>
      <c r="F3" s="20" t="inlineStr">
        <is>
          <t>Review candidate core and conditional risks; agree final departmental wording and inclusion. Evidence-review note: Replace mismatched 2015/PMID citation with 2024 CIRSE CAS SOP; add hyperperfusion/intracranial bleed and acute occlusion; define route-dependent aortic/arch injury Verification before finalisation: Verify PMID 36894748 against original reference manager; it does not validate the stated citation</t>
        </is>
      </c>
    </row>
    <row r="4">
      <c r="A4" s="18" t="inlineStr">
        <is>
          <t>Diagnostic angiography</t>
        </is>
      </c>
      <c r="B4" s="14" t="inlineStr">
        <is>
          <t>Access-site pain/bruising/haematoma; Arterial injury/dissection, thrombosis/occlusion, distal embolisation, pseudoaneurysm or AV fistula; Perforation/rupture; territory-specific ischaemic injury; stroke only if cerebral/supra-aortic catheterisation or relevant context; Bleeding/haematoma, pseudoaneurysm, AV fistula, arterial injury/occlusion</t>
        </is>
      </c>
      <c r="C4" s="14" t="inlineStr">
        <is>
          <t>Contrast reaction/AKI; radiation exposure; sedation if used; Vascular bed, sheath/access site, selective catheterisation, renal function and prior contrast reaction</t>
        </is>
      </c>
      <c r="D4" s="14" t="inlineStr">
        <is>
          <t>No single rate applies across access sites and territories</t>
        </is>
      </c>
      <c r="E4" s="14" t="inlineStr">
        <is>
          <t>[3] CIRSE Standards of Practice on Arterial Access for Interventions. 2023; PMID 36705706. [4] SIR diagnostic arteriography source, as cited in original, 2013; exact title/page not verified</t>
        </is>
      </c>
      <c r="F4" s="20" t="inlineStr">
        <is>
          <t>Review candidate core and conditional risks; agree final departmental wording and inclusion. Evidence-review note: Define target territory and access; separate stroke risk from general diagnostic angiography; add specific access events and conditional contrast risks Verification before finalisation: Recover exact SIR title, year, page and vascular-bed scope</t>
        </is>
      </c>
    </row>
    <row r="5">
      <c r="A5" s="18" t="inlineStr">
        <is>
          <t>Endovascular aneurysm repair (EVAR)</t>
        </is>
      </c>
      <c r="B5" s="14" t="inlineStr">
        <is>
          <t>Access-site bruising/bleeding; possible technical failure or further treatment; Endoleak, endograft limb thrombosis/occlusion, migration/kinking, renal or limb ischaemia; Aneurysm enlargement/rupture; graft infection/failure; bowel/pelvic/spinal ischaemia; conversion, reintervention or death; Iliac/femoral injury, dissection, rupture, bleeding or limb ischaemia</t>
        </is>
      </c>
      <c r="C5" s="14" t="inlineStr">
        <is>
          <t>Contrast reaction/AKI and radiation exposure; Aneurysm anatomy, device/landing zones, complex repair, access vessels, coverage and patient risk</t>
        </is>
      </c>
      <c r="D5" s="14" t="inlineStr">
        <is>
          <t>No single rate transferable between standard and complex EVAR; [6] covers endoleak management only</t>
        </is>
      </c>
      <c r="E5" s="14" t="inlineStr">
        <is>
          <t>[5] SIR/CIRSE/CIRA. Clinical Practice Guidelines for Endovascular Abdominal Aortic Aneurysm Repair. 2010; primary PDF [6] CIRSE Standards of Practice on Management of Endoleaks Following EVAR. 2024; DOI 10.1007/s00270-023-03629-1; PMID 38216742</t>
        </is>
      </c>
      <c r="F5" s="20" t="inlineStr">
        <is>
          <t>Review candidate core and conditional risks; agree final departmental wording and inclusion. Evidence-review note: Retain distinct endoleak, migration and limb occlusion; add limb/renal/visceral consequences; use 2024 CIRSE source only for endoleak component Verification before finalisation: Confirm BSIR leaflet version/date and current local aortic standard</t>
        </is>
      </c>
    </row>
    <row r="6">
      <c r="A6" s="18" t="inlineStr">
        <is>
          <t>Gastrointestinal bleeding embolisation</t>
        </is>
      </c>
      <c r="B6" s="14" t="inlineStr">
        <is>
          <t>Persistent/recurrent bleeding; access bruising/bleeding; Repeat embolisation, endoscopy or surgery; bowel ischaemia; Bowel infarction/necrosis, perforation or later stricture due to non-target or extensive embolisation; Arterial access bleeding/haematoma; vessel injury</t>
        </is>
      </c>
      <c r="C6" s="14" t="inlineStr">
        <is>
          <t>Contrast reaction/AKI; radiation exposure; Bowel territory, collateral supply, prior surgery/radiotherapy and embolic technique</t>
        </is>
      </c>
      <c r="D6" s="14" t="inlineStr">
        <is>
          <t>No universal rate; depends on territory, collateralisation and case mix</t>
        </is>
      </c>
      <c r="E6" s="14" t="inlineStr">
        <is>
          <t>[7] Society of Interventional Radiology Quality Improvement Standards for Percutaneous Transcatheter Embolization. 2021; PMID 33640083. [8] Sacks et al. Quality improvement guidelines for transcatheter embolization for acute gastrointestinal nonvariceal hemorrhage. 2012; PMID 23150119</t>
        </is>
      </c>
      <c r="F6" s="20" t="inlineStr">
        <is>
          <t>Review candidate core and conditional risks; agree final departmental wording and inclusion. Evidence-review note: Use 2021 general SIR and 2012 GI-specific sources; keep bowel injury distinct from recurrent bleeding; document territory-specific risk Verification before finalisation: Verify exact pages in full source PDFs</t>
        </is>
      </c>
    </row>
    <row r="7">
      <c r="A7" s="18" t="inlineStr">
        <is>
          <t>Pelvic congestion / pelvic vein embolisation</t>
        </is>
      </c>
      <c r="B7" s="14" t="inlineStr">
        <is>
          <t>Pelvic/back pain or post-procedure thrombophlebitic symptoms; persistent/recurrent symptoms; Venous injury/perforation; non-target embolisation; repeat treatment; Coil/plug/liquid-agent migration, potentially pulmonary; severe non-target embolisation; Venous access bleeding/haematoma</t>
        </is>
      </c>
      <c r="C7" s="14" t="inlineStr">
        <is>
          <t>Contrast reaction/AKI and radiation; sedation if used; Access route, embolic material/device, anatomy, pregnancy/fertility context</t>
        </is>
      </c>
      <c r="D7" s="14" t="inlineStr">
        <is>
          <t>No transferable incidence verified from a procedure-specific technical standard</t>
        </is>
      </c>
      <c r="E7" s="14" t="inlineStr">
        <is>
          <t>[9] BSIR. Pelvic Congestion Syndrome and Pelvic Vein Embolisation patient information. Current webpage, accessed 2 Oct 2026; procedure-specific technical standard still to confirm</t>
        </is>
      </c>
      <c r="F7" s="20" t="inlineStr">
        <is>
          <t>Review candidate core and conditional risks; agree final departmental wording and inclusion. Evidence-review note: Remove unrelated injury terms unless source supports them; use venous access, embolic material migration, venous injury and recurrence concepts Verification before finalisation: Consult procedure-performing colleagues for exact devices and local practice</t>
        </is>
      </c>
    </row>
    <row r="8">
      <c r="A8" s="18" t="inlineStr">
        <is>
          <t>Percutaneous gastrostomy insertion</t>
        </is>
      </c>
      <c r="B8" s="14" t="inlineStr">
        <is>
          <t>Pain; peristomal infection; tube leak/dislodgement/blockage; Bleeding; aspiration; bowel/adjacent-organ injury or peritonitis; Sepsis or necrotising fasciitis (rare, serious); failure/abandonment if unsafe; Puncture-site bleeding</t>
        </is>
      </c>
      <c r="C8" s="14" t="inlineStr">
        <is>
          <t>Sedation/anaesthesia; contrast and fluoroscopy where relevant; Ascites, altered anatomy, prior surgery, airway/aspiration risk</t>
        </is>
      </c>
      <c r="D8" s="14" t="inlineStr">
        <is>
          <t>No universal rate applied</t>
        </is>
      </c>
      <c r="E8" s="14" t="inlineStr">
        <is>
          <t>[11] Ryan et al. CIRSE/SIR multidisciplinary practical guidelines for gastrointestinal access for enteral nutrition and decompression. 2011; primary PDF</t>
        </is>
      </c>
      <c r="F8" s="20" t="inlineStr">
        <is>
          <t>Review candidate core and conditional risks; agree final departmental wording and inclusion. Evidence-review note: Separate bleeding, peritonitis, infection and rare necrotising fasciitis; add organ injury, leak, tube malposition and failure Verification before finalisation: Check a newer authoritative enteral-access source before final standard</t>
        </is>
      </c>
    </row>
    <row r="9">
      <c r="A9" s="18" t="inlineStr">
        <is>
          <t>Transjugular liver biopsy (TJLB)</t>
        </is>
      </c>
      <c r="B9" s="14" t="inlineStr">
        <is>
          <t>Neck discomfort; inadequate sample/repeat biopsy; Neck bleeding/haematoma; arrhythmia; capsular perforation or intra-abdominal bleeding; Haemobilia/biliary injury; severe bleeding; Neck puncture bleeding/haematoma; inadvertent arterial puncture</t>
        </is>
      </c>
      <c r="C9" s="14" t="inlineStr">
        <is>
          <t>Contrast/radiation as relevant; sedation if used; Liver disease severity, coagulopathy, route and biopsy indication</t>
        </is>
      </c>
      <c r="D9" s="14" t="inlineStr">
        <is>
          <t>Rates vary with patient severity, definitions and route</t>
        </is>
      </c>
      <c r="E9" s="14" t="inlineStr">
        <is>
          <t>[12] Neuberger et al. Guidelines on the use of liver biopsy in clinical practice from BSG, RCR and RCPath. 2020; DOI 10.1136/gutjnl-2020-321299; PMID 32467090</t>
        </is>
      </c>
      <c r="F9" s="20" t="inlineStr">
        <is>
          <t>Review candidate core and conditional risks; agree final departmental wording and inclusion. Evidence-review note: Replace generic organ injury with capsular perforation/bleeding, biliary injury and arrhythmia; remove tumour seeding from routine TJLB list without route-specific support Verification before finalisation: Use exact TJLB section and tables in joint guideline</t>
        </is>
      </c>
    </row>
    <row r="10">
      <c r="A10" s="18" t="inlineStr">
        <is>
          <t>Peripheral arterial angioplasty +/- stenting</t>
        </is>
      </c>
      <c r="B10" s="14" t="inlineStr">
        <is>
          <t>Access-site bruising/bleeding; restenosis or recurrent symptoms; Dissection; distal embolisation; vessel perforation/rupture; acute thrombosis/occlusion; Acute limb ischaemia, limb loss, reintervention; Access bleeding/haematoma, pseudoaneurysm, AV fistula, arterial injury</t>
        </is>
      </c>
      <c r="C10" s="14" t="inlineStr">
        <is>
          <t>Contrast reaction/AKI; radiation; device-specific risk as applicable; Arterial territory, CLTI vs claudication, access, DCB/stent type, runoff</t>
        </is>
      </c>
      <c r="D10" s="14" t="inlineStr">
        <is>
          <t>For femoropopliteal procedures only: weighted vessel complication mean 4.3% (range 2.4–6.3%) after balloon angioplasty and 7.3% (0–17%) after stenting in cited 2014 SOP; heterogeneous historical data</t>
        </is>
      </c>
      <c r="E10" s="14" t="inlineStr">
        <is>
          <t>[13] Katsanos et al. Standards of Practice for Superficial Femoral and Popliteal Artery Angioplasty and Stenting. CIRSE. 2014</t>
        </is>
      </c>
      <c r="F10" s="20" t="inlineStr">
        <is>
          <t>Review candidate core and conditional risks; agree final departmental wording and inclusion. Evidence-review note: Merge duplicate haematoma; merge rupture wording; retain distinct dissection, embolisation and occlusion; add limb ischaemia/loss and recurrence Verification before finalisation: Confirm treated vascular bed and device before applying any rates</t>
        </is>
      </c>
    </row>
    <row r="11">
      <c r="A11" s="18" t="inlineStr">
        <is>
          <t>Portal vein embolisation (PVE)</t>
        </is>
      </c>
      <c r="B11" s="14" t="inlineStr">
        <is>
          <t>Access/transhepatic pain; failure to achieve planned hypertrophy; Portal vein thrombosis/extension; infection, cholangitis, abscess or sepsis; Non-target embolisation; liver failure after subsequent surgery; unable to proceed to hepatectomy; Transhepatic puncture bleeding</t>
        </is>
      </c>
      <c r="C11" s="14" t="inlineStr">
        <is>
          <t>Contrast reaction/AKI; radiation exposure; PVE vs LVD/double-vein technique, embolic agent, liver status and surgical plan</t>
        </is>
      </c>
      <c r="D11" s="14" t="inlineStr">
        <is>
          <t>A systematic review cited in 2024 SOP reported 0.4% not proceeding to planned hepatectomy due to major complications; this is not a direct PVE complication rate</t>
        </is>
      </c>
      <c r="E11" s="14" t="inlineStr">
        <is>
          <t>[14] Bilhim et al. CIRSE Standards of Practice on Portal Vein Embolization and Double Vein Embolization/Liver Venous Deprivation. 2024; DOI 10.1007/s00270-024-03743-8; PMID 38884781</t>
        </is>
      </c>
      <c r="F11" s="20" t="inlineStr">
        <is>
          <t>Review candidate core and conditional risks; agree final departmental wording and inclusion. Evidence-review note: Add source and infection/abscess/cholangitis, failure of hypertrophy, surgical dropout; separate downstream surgical outcomes Verification before finalisation: Verify exact complication paragraph and distinguish PVE from LVD</t>
        </is>
      </c>
    </row>
    <row r="12">
      <c r="A12" s="18" t="inlineStr">
        <is>
          <t>Prostatic artery embolisation (PAE)</t>
        </is>
      </c>
      <c r="B12" s="14" t="inlineStr">
        <is>
          <t>Transient dysuria, frequency/urgency, haematuria, rectal bleeding or post-embolisation symptoms; UTI/retention; persistent LUTS or treatment failure; repeat intervention; Non-target pelvic ischaemia causing bladder, rectal or penile injury/ulceration/necrosis; sexual dysfunction where material; Arterial access bleeding/haematoma; arterial injury</t>
        </is>
      </c>
      <c r="C12" s="14" t="inlineStr">
        <is>
          <t>Contrast reaction/AKI; radiation exposure; Prostatic arterial anatomy, embolic agent, non-target collateral supply, patient priorities</t>
        </is>
      </c>
      <c r="D12" s="14" t="inlineStr">
        <is>
          <t>Rates vary by definition and technique; no universal rate supplied</t>
        </is>
      </c>
      <c r="E12" s="14" t="inlineStr">
        <is>
          <t>[15] SIR Quality Improvement Guidelines for Prostatic Artery Embolization. 2020; exact final record/page requires verification. [16] Cornelis et al. CIRSE Standards of Practice on Prostatic Artery Embolisation. 2020 (online 2019); DOI 10.1007/s00270-019-02379-3; PMID 31792588</t>
        </is>
      </c>
      <c r="F12" s="20" t="inlineStr">
        <is>
          <t>Review candidate core and conditional risks; agree final departmental wording and inclusion. Evidence-review note: Remove premature menopause and intramuscular bleeding; catheter insertion is process/aftercare; include specific non-target-organ harms and failure/recurrence Verification before finalisation: Confirm exact SIR source record and local technique</t>
        </is>
      </c>
    </row>
    <row r="13">
      <c r="A13" s="18" t="inlineStr">
        <is>
          <t>Transarterial chemoembolisation (TACE)</t>
        </is>
      </c>
      <c r="B13" s="14" t="inlineStr">
        <is>
          <t>Post-embolisation symptoms: pain, nausea and fever; expected in about 30% per CIRSE SOP; Cholecystitis; biliary ischaemia/necrosis; hepatic decompensation; Liver failure; abscess/sepsis (risk increased with biliary-enteric communication/instrumentation); non-target GI embolisation; Arterial access bleeding/haematoma</t>
        </is>
      </c>
      <c r="C13" s="14" t="inlineStr">
        <is>
          <t>Contrast reaction/AKI; radiation exposure; Liver reserve, tumour burden, portal flow, biliary instrumentation, embolic technique</t>
        </is>
      </c>
      <c r="D13" s="14" t="inlineStr">
        <is>
          <t>CIRSE SOP reports PES expected in about 30%; do not classify expected PES as equivalent to major organ injury</t>
        </is>
      </c>
      <c r="E13" s="14" t="inlineStr">
        <is>
          <t>[17] Lucatelli et al. CIRSE Standards of Practice on Hepatic Transarterial Chemoembolisation. 2021; DOI 10.1007/s00270-021-02968-1; PMID 34694454</t>
        </is>
      </c>
      <c r="F13" s="20" t="inlineStr">
        <is>
          <t>Review candidate core and conditional risks; agree final departmental wording and inclusion. Evidence-review note: Replace Academia.edu link with 2021 CIRSE SOP; merge liver failure terms; separate cholecystitis from biliary injury; label PES as expected symptom complex Verification before finalisation: Verify exact section/page in full CIRSE SOP</t>
        </is>
      </c>
    </row>
    <row r="14">
      <c r="A14" s="18" t="inlineStr">
        <is>
          <t>Thoracic endovascular aortic repair (TEVAR)</t>
        </is>
      </c>
      <c r="B14" s="14" t="inlineStr">
        <is>
          <t>Access bruising/bleeding; possible reintervention; Stroke; endoleak; retrograde dissection; graft failure; renal/visceral/limb malperfusion; Spinal cord ischaemia/paraplegia; aortic rupture/death; Iliac/femoral injury, bleeding, rupture or limb ischaemia</t>
        </is>
      </c>
      <c r="C14" s="14" t="inlineStr">
        <is>
          <t>Contrast reaction/AKI and radiation; Aortic coverage length, collateral circulation, previous repair, indication, access anatomy</t>
        </is>
      </c>
      <c r="D14" s="14" t="inlineStr">
        <is>
          <t>Rates depend on indication, coverage and case mix; no universal rate supplied</t>
        </is>
      </c>
      <c r="E14" s="14" t="inlineStr">
        <is>
          <t>[18] Gupta et al. CIRSE Standards of Practice on the Endovascular Management of Descending Thoracic Aortic Disease. 2026; DOI 10.1007/s00270-026-04477-5; PMID 42545482. [19] SIR practice parameter for endovascular treatment of thoracic aortic aneurysms, 2010; SIR guideline index</t>
        </is>
      </c>
      <c r="F14" s="20" t="inlineStr">
        <is>
          <t>Review candidate core and conditional risks; agree final departmental wording and inclusion. Evidence-review note: Add 2026 CIRSE SOP; include paraplegia and relevant aortic/malperfusion outcomes; tailor spinal cord risk to extent and collateral supply Verification before finalisation: Confirm SOP was available by cut-off and local TEVAR indication</t>
        </is>
      </c>
    </row>
    <row r="15">
      <c r="A15" s="18" t="inlineStr">
        <is>
          <t>Thrombolysis of dialysis access</t>
        </is>
      </c>
      <c r="B15" s="14" t="inlineStr">
        <is>
          <t>Access bleeding/haematoma; failure or early rethrombosis; Access rupture/extravasation; distal embolisation/hand ischaemia; repeat treatment; Systemic haemorrhage including intracranial bleeding when thrombolytic used; permanent access loss; Access puncture bleeding, haematoma, vessel injury</t>
        </is>
      </c>
      <c r="C15" s="14" t="inlineStr">
        <is>
          <t>Contrast reaction/AKI as relevant; radiation exposure; Thrombolytic vs mechanical technique, coagulopathy, recent bleeding, access anatomy</t>
        </is>
      </c>
      <c r="D15" s="14" t="inlineStr">
        <is>
          <t>No universal rate verified; thrombolytic-specific risks depend on drug and case selection</t>
        </is>
      </c>
      <c r="E15" s="14" t="inlineStr">
        <is>
          <t>[20] ACR-SIR Practice Parameter for Endovascular Management of the Thrombosed or Dysfunctional Dialysis Access; current online version [21] UK Kidney Association Clinical Practice Guideline on vascular access for haemodialysis. 2025</t>
        </is>
      </c>
      <c r="F15" s="20" t="inlineStr">
        <is>
          <t>Review candidate core and conditional risks; agree final departmental wording and inclusion. Evidence-review note: Add current dialysis-access sources; distinguish thrombolytic risk from mechanical thrombectomy/PTA and document access loss/failure Verification before finalisation: Validate with local dialysis-access operators and current parameter text</t>
        </is>
      </c>
    </row>
    <row r="16">
      <c r="A16" s="18" t="inlineStr">
        <is>
          <t>PTA of dialysis access</t>
        </is>
      </c>
      <c r="B16" s="14" t="inlineStr">
        <is>
          <t>Access-site pain/bleeding; restenosis/recurrent dysfunction; Dissection, rupture/extravasation, thrombosis, distal embolisation or worsening steal/hand ischaemia; Acute access loss; repeat procedure or surgery; Access puncture bleeding/haematoma; access rupture</t>
        </is>
      </c>
      <c r="C16" s="14" t="inlineStr">
        <is>
          <t>Contrast reaction/AKI as relevant; radiation exposure; Fistula vs graft, lesion site, balloon/stent device and baseline hand perfusion</t>
        </is>
      </c>
      <c r="D16" s="14" t="inlineStr">
        <is>
          <t>No universal rate verified for all access types/techniques</t>
        </is>
      </c>
      <c r="E16" s="14" t="inlineStr">
        <is>
          <t>[20] ACR-SIR Practice Parameter for Endovascular Management of the Thrombosed or Dysfunctional Dialysis Access; current online version [21] UK Kidney Association Clinical Practice Guideline on vascular access for haemodialysis. 2025</t>
        </is>
      </c>
      <c r="F16" s="20" t="inlineStr">
        <is>
          <t>Review candidate core and conditional risks; agree final departmental wording and inclusion. Evidence-review note: Add sources; remove generic PE/stroke/death absent procedure-specific evidence; clarify “discharge”; add rupture, thrombosis, steal and access loss Verification before finalisation: Check original workbook wording and with local operators</t>
        </is>
      </c>
    </row>
    <row r="17">
      <c r="A17" s="18" t="inlineStr">
        <is>
          <t>Transjugular intrahepatic portosystemic shunt (TIPS)</t>
        </is>
      </c>
      <c r="B17" s="14" t="inlineStr">
        <is>
          <t>Neck discomfort; possible breathlessness/volume shift depending on patient; New or worsened hepatic encephalopathy; shunt dysfunction/stenosis/thrombosis; hepatic decompensation; Capsular puncture/intra-abdominal haemorrhage, biliary/portal injury, cardiac failure/volume overload, liver failure or death; Neck puncture bleeding/haematoma; inadvertent arterial puncture</t>
        </is>
      </c>
      <c r="C17" s="14" t="inlineStr">
        <is>
          <t>Contrast reaction/AKI; radiation; anaesthetic risk if GA used; Baseline liver reserve, cardiac reserve, indication, encephalopathy history and shunt size</t>
        </is>
      </c>
      <c r="D17" s="14" t="inlineStr">
        <is>
          <t>Rates vary with patient selection, indication and follow-up; no generic rate supplied</t>
        </is>
      </c>
      <c r="E17" s="14" t="inlineStr">
        <is>
          <t>[22] Lucatelli et al. CIRSE Standards of Practice on Transjugular Intrahepatic Portosystemic Shunts. 2024; DOI 10.1007/s00270-024-03866-y; PMID 39550753. [23] BSIR/RCR TIPS patient leaflet; current hosted PDF states approved 25 Feb 2011</t>
        </is>
      </c>
      <c r="F17" s="20" t="inlineStr">
        <is>
          <t>Review candidate core and conditional risks; agree final departmental wording and inclusion. Evidence-review note: Use CIRSE 2024 as lead source; “confusion” -&gt; new/worsened hepatic encephalopathy; verify hosted BSIR leaflet is approved 2011, not 2025 Verification before finalisation: Confirm precise current BSIR leaflet version and local TIPS pathway</t>
        </is>
      </c>
    </row>
    <row r="18">
      <c r="A18" s="18" t="inlineStr">
        <is>
          <t>Tunneled dialysis catheter insertion</t>
        </is>
      </c>
      <c r="B18" s="14" t="inlineStr">
        <is>
          <t>Catheter malfunction/malposition; local pain; Arterial puncture, bleeding/haematoma, arrhythmia, pneumothorax/haemothorax (site-dependent), infection, venous thrombosis/stenosis; Air embolism, major vascular injury or severe haemorrhage; catheter failure requiring replacement; Venous access bleeding/haematoma; arterial puncture</t>
        </is>
      </c>
      <c r="C18" s="14" t="inlineStr">
        <is>
          <t>Fluoroscopy/radiation and contrast if used; sedation if used; Access route, prior central venous stenosis/thrombosis, anatomy, coagulopathy and infection status</t>
        </is>
      </c>
      <c r="D18" s="14" t="inlineStr">
        <is>
          <t>Incidence depends on insertion site, technique and follow-up; no universal rate supplied</t>
        </is>
      </c>
      <c r="E18" s="14" t="inlineStr">
        <is>
          <t>[21] UK Kidney Association Clinical Practice Guideline on vascular access for haemodialysis. 2025; [24] Schröppel et al. Placement of tunnelled haemodialysis catheters—interventional standard. Online 2024/print 2025; DOI 10.1093/ndt/gfae181; PMID 39152048. [40] ACR Appropriateness Criteria Central Venous Access Device and Site Selection. 2023; DOI 10.1016/j.jacr.2023.02.021; PMID 37236750</t>
        </is>
      </c>
      <c r="F18" s="20" t="inlineStr">
        <is>
          <t>Review candidate core and conditional risks; agree final departmental wording and inclusion. Evidence-review note: Delete BTS pleural guideline citation; replace “stent migration” with catheter malposition/dislodgement; remove unrelated stroke/MI/limb ischaemia/hemopericardium as routine risks; add air embolism and malfunction Verification before finalisation: Use current central venous access and haemodialysis catheter standards; exact source list updated</t>
        </is>
      </c>
    </row>
    <row r="19">
      <c r="A19" s="18" t="inlineStr">
        <is>
          <t>Uterine artery embolisation for fibroids (UAE)</t>
        </is>
      </c>
      <c r="B19" s="14" t="inlineStr">
        <is>
          <t>Pain, nausea, fever and post-embolisation syndrome (expected/common); fibroid expulsion; Infection/endometritis; persistent symptoms or repeat treatment; Non-target ischaemia/necrosis; ovarian dysfunction/amenorrhoea or earlier menopause; hysterectomy; fertility/pregnancy implications; Access bleeding/haematoma; arterial injury</t>
        </is>
      </c>
      <c r="C19" s="14" t="inlineStr">
        <is>
          <t>Contrast reaction/AKI; radiation exposure; Age, ovarian reserve, reproductive goals, infection risk and fibroid anatomy</t>
        </is>
      </c>
      <c r="D19" s="14" t="inlineStr">
        <is>
          <t>No universal rate used; risk varies with age, patient selection and definitions</t>
        </is>
      </c>
      <c r="E19" s="14" t="inlineStr">
        <is>
          <t>[25] SIR Quality Improvement Guidelines for Uterine Artery Embolization for Symptomatic Leiomyomata. Listed by SIR in 2025; exact final record/page to verify via SIR library. [26] CIRSE Uterine Artery Embolisation patient information. 2025</t>
        </is>
      </c>
      <c r="F19" s="20" t="inlineStr">
        <is>
          <t>Review candidate core and conditional risks; agree final departmental wording and inclusion. Evidence-review note: Update 2014 SIR source; separate common PES from infection/rare ischaemic injury; discuss ovarian/fertility risks in context Verification before finalisation: Verify exact final 2025 SIR bibliographic record and applicability</t>
        </is>
      </c>
    </row>
    <row r="20">
      <c r="A20" s="18" t="inlineStr">
        <is>
          <t>Varicocele embolisation</t>
        </is>
      </c>
      <c r="B20" s="14" t="inlineStr">
        <is>
          <t>Local pain/swelling or thrombophlebitic symptoms; persistent/recurrent varicocele; Venous injury/perforation; technical failure and repeat procedure; Coil/plug/liquid-agent migration, potentially pulmonary; serious non-target embolisation; Venous access bleeding/haematoma</t>
        </is>
      </c>
      <c r="C20" s="14" t="inlineStr">
        <is>
          <t>Contrast reaction/AKI and radiation exposure; Embolic material, venous anatomy, route and fertility-related goals</t>
        </is>
      </c>
      <c r="D20" s="14" t="inlineStr">
        <is>
          <t>CIRSE patient information reports overall complications 2–3%, usually minor; rare migration; leaflet estimate only</t>
        </is>
      </c>
      <c r="E20" s="14" t="inlineStr">
        <is>
          <t>[27] Kably et al. CIRSE Standards of Practice on Varicocele Embolisation. 2022; PMID 36380154. [28] CIRSE Embolization for Varicoceles patient information; current webpage, accessed 2 Oct 2026</t>
        </is>
      </c>
      <c r="F20" s="20" t="inlineStr">
        <is>
          <t>Review candidate core and conditional risks; agree final departmental wording and inclusion. Evidence-review note: Use 2022 CIRSE standard as lead source; add venous injury and thrombophlebitis; retain leaflet rate only with context Verification before finalisation: Confirm whether coil, plug, glue or other agent used locally</t>
        </is>
      </c>
    </row>
    <row r="21">
      <c r="A21" s="18" t="inlineStr">
        <is>
          <t>Venous stenting</t>
        </is>
      </c>
      <c r="B21" s="14" t="inlineStr">
        <is>
          <t>Access bruising/bleeding; persistent/recurrent symptoms; Venous perforation/rupture; acute or in-stent thrombosis/occlusion; stent compression/fracture where relevant; Stent migration; serious thromboembolic event; reintervention; Venous access bleeding/haematoma</t>
        </is>
      </c>
      <c r="C21" s="14" t="inlineStr">
        <is>
          <t>Contrast reaction/AKI and radiation; antithrombotic-associated bleeding if prescribed; Iliocaval vs other venous bed, acute DVT vs chronic obstruction, thrombectomy, stent design and anticoagulation</t>
        </is>
      </c>
      <c r="D21" s="14" t="inlineStr">
        <is>
          <t>No universal rate; 2024 serious-event series is not a generic incidence estimate</t>
        </is>
      </c>
      <c r="E21" s="14" t="inlineStr">
        <is>
          <t>[29] Mahnken et al. CIRSE Standards of Practice Guidelines on Iliocaval Stenting. 2014; DOI 10.1007/s00270-014-0875-4; PMID 24633533. [30] Major Complications of Deep Venous Stenting. 2024; PMID 39214918</t>
        </is>
      </c>
      <c r="F21" s="20" t="inlineStr">
        <is>
          <t>Review candidate core and conditional risks; agree final departmental wording and inclusion. Evidence-review note: Specify target venous bed; use 2014 CIRSE only for iliocaval obstruction; PE is conditional on thrombotic/embolic context Verification before finalisation: Review local stent indications, devices and antithrombotic regimen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8" customWidth="1" min="1" max="1"/>
    <col width="95" customWidth="1" min="2" max="2"/>
  </cols>
  <sheetData>
    <row r="1">
      <c r="A1" s="54" t="inlineStr">
        <is>
          <t>Modified Delphi process for IR consent standardisation</t>
        </is>
      </c>
      <c r="B1" s="55" t="n"/>
      <c r="C1" s="55" t="n"/>
      <c r="D1" s="55" t="n"/>
      <c r="E1" s="55" t="n"/>
      <c r="F1" s="55" t="n"/>
    </row>
    <row r="2">
      <c r="A2" s="56" t="inlineStr">
        <is>
          <t>Element</t>
        </is>
      </c>
      <c r="B2" s="56" t="inlineStr">
        <is>
          <t>Method</t>
        </is>
      </c>
      <c r="C2" s="56" t="n"/>
      <c r="D2" s="56" t="n"/>
      <c r="E2" s="56" t="n"/>
      <c r="F2" s="56" t="n"/>
    </row>
    <row r="3">
      <c r="A3" s="57" t="inlineStr">
        <is>
          <t>Purpose</t>
        </is>
      </c>
      <c r="B3" s="57" t="inlineStr">
        <is>
          <t>To convert the evidence-derived candidate risk matrix into a consultant-owned departmental core consent standard.</t>
        </is>
      </c>
      <c r="C3" s="57" t="n"/>
      <c r="D3" s="57" t="n"/>
      <c r="E3" s="57" t="n"/>
      <c r="F3" s="57" t="n"/>
    </row>
    <row r="4">
      <c r="A4" s="57" t="inlineStr">
        <is>
          <t>Unit of voting</t>
        </is>
      </c>
      <c r="B4" s="57" t="inlineStr">
        <is>
          <t>Each candidate risk is scored separately. Risks have been atomised so consultants can agree or disagree with individual items.</t>
        </is>
      </c>
      <c r="C4" s="57" t="n"/>
      <c r="D4" s="57" t="n"/>
      <c r="E4" s="57" t="n"/>
      <c r="F4" s="57" t="n"/>
    </row>
    <row r="5">
      <c r="A5" s="57" t="inlineStr">
        <is>
          <t>Scoring</t>
        </is>
      </c>
      <c r="B5" s="57" t="inlineStr">
        <is>
          <t>1 = definitely exclude; 2 = probably exclude; 3 = uncertain; 4 = probably include; 5 = definitely include.</t>
        </is>
      </c>
      <c r="C5" s="57" t="n"/>
      <c r="D5" s="57" t="n"/>
      <c r="E5" s="57" t="n"/>
      <c r="F5" s="57" t="n"/>
    </row>
    <row r="6">
      <c r="A6" s="57" t="inlineStr">
        <is>
          <t>Consensus for inclusion</t>
        </is>
      </c>
      <c r="B6" s="57" t="inlineStr">
        <is>
          <t>Suggested rule: ≥80% of responding consultants score 4 or 5.</t>
        </is>
      </c>
      <c r="C6" s="57" t="n"/>
      <c r="D6" s="57" t="n"/>
      <c r="E6" s="57" t="n"/>
      <c r="F6" s="57" t="n"/>
    </row>
    <row r="7">
      <c r="A7" s="57" t="inlineStr">
        <is>
          <t>Consensus for exclusion</t>
        </is>
      </c>
      <c r="B7" s="57" t="inlineStr">
        <is>
          <t>Suggested rule: ≥80% of responding consultants score 1 or 2.</t>
        </is>
      </c>
      <c r="C7" s="57" t="n"/>
      <c r="D7" s="57" t="n"/>
      <c r="E7" s="57" t="n"/>
      <c r="F7" s="57" t="n"/>
    </row>
    <row r="8">
      <c r="A8" s="57" t="inlineStr">
        <is>
          <t>No consensus</t>
        </is>
      </c>
      <c r="B8" s="57" t="inlineStr">
        <is>
          <t>Any item not meeting either threshold proceeds to Round 2.</t>
        </is>
      </c>
      <c r="C8" s="57" t="n"/>
      <c r="D8" s="57" t="n"/>
      <c r="E8" s="57" t="n"/>
      <c r="F8" s="57" t="n"/>
    </row>
    <row r="9">
      <c r="A9" s="57" t="inlineStr">
        <is>
          <t>Round 2</t>
        </is>
      </c>
      <c r="B9" s="57" t="inlineStr">
        <is>
          <t>Consultants review unresolved items with anonymised Round 1 group results and rescore.</t>
        </is>
      </c>
      <c r="C9" s="57" t="n"/>
      <c r="D9" s="57" t="n"/>
      <c r="E9" s="57" t="n"/>
      <c r="F9" s="57" t="n"/>
    </row>
    <row r="10">
      <c r="A10" s="57" t="inlineStr">
        <is>
          <t>Additional questions</t>
        </is>
      </c>
      <c r="B10" s="57" t="inlineStr">
        <is>
          <t>Consultants can indicate whether a routine frequency statement should be used and can suggest wording changes or missing risks.</t>
        </is>
      </c>
      <c r="C10" s="57" t="n"/>
      <c r="D10" s="57" t="n"/>
      <c r="E10" s="57" t="n"/>
      <c r="F10" s="57" t="n"/>
    </row>
    <row r="11">
      <c r="A11" s="57" t="inlineStr">
        <is>
          <t>Final output</t>
        </is>
      </c>
      <c r="B11" s="57" t="inlineStr">
        <is>
          <t>Agreed departmental core risk set, plus conditional/patient-specific risks retained for individualised consent.</t>
        </is>
      </c>
      <c r="C11" s="57" t="n"/>
      <c r="D11" s="57" t="n"/>
      <c r="E11" s="57" t="n"/>
      <c r="F11" s="57" t="n"/>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23"/>
  <sheetViews>
    <sheetView workbookViewId="0">
      <pane ySplit="1" topLeftCell="A2" activePane="bottomLeft" state="frozen"/>
      <selection pane="bottomLeft" activeCell="A1" sqref="A1"/>
    </sheetView>
  </sheetViews>
  <sheetFormatPr baseColWidth="8" defaultRowHeight="15"/>
  <cols>
    <col width="30" customWidth="1" min="1" max="1"/>
    <col width="55" customWidth="1" min="2" max="2"/>
    <col width="26" customWidth="1" min="3" max="3"/>
    <col width="34" customWidth="1" min="4" max="4"/>
    <col width="45"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0" customWidth="1" min="14" max="14"/>
    <col width="12" customWidth="1" min="15" max="15"/>
    <col width="12" customWidth="1" min="16" max="16"/>
    <col width="12" customWidth="1" min="17" max="17"/>
    <col width="16" customWidth="1" min="18" max="18"/>
    <col width="22" customWidth="1" min="19" max="19"/>
    <col width="45" customWidth="1" min="20" max="20"/>
  </cols>
  <sheetData>
    <row r="1">
      <c r="A1" s="58" t="inlineStr">
        <is>
          <t>Procedure</t>
        </is>
      </c>
      <c r="B1" s="58" t="inlineStr">
        <is>
          <t>Candidate risk</t>
        </is>
      </c>
      <c r="C1" s="58" t="inlineStr">
        <is>
          <t>Risk type</t>
        </is>
      </c>
      <c r="D1" s="58" t="inlineStr">
        <is>
          <t>Frequency / evidence note</t>
        </is>
      </c>
      <c r="E1" s="58" t="inlineStr">
        <is>
          <t>Main source(s)</t>
        </is>
      </c>
      <c r="F1" s="58" t="inlineStr">
        <is>
          <t>Consultant 1</t>
        </is>
      </c>
      <c r="G1" s="58" t="inlineStr">
        <is>
          <t>Consultant 2</t>
        </is>
      </c>
      <c r="H1" s="58" t="inlineStr">
        <is>
          <t>Consultant 3</t>
        </is>
      </c>
      <c r="I1" s="58" t="inlineStr">
        <is>
          <t>Consultant 4</t>
        </is>
      </c>
      <c r="J1" s="58" t="inlineStr">
        <is>
          <t>Consultant 5</t>
        </is>
      </c>
      <c r="K1" s="58" t="inlineStr">
        <is>
          <t>Consultant 6</t>
        </is>
      </c>
      <c r="L1" s="58" t="inlineStr">
        <is>
          <t>Consultant 7</t>
        </is>
      </c>
      <c r="M1" s="58" t="inlineStr">
        <is>
          <t>Consultant 8</t>
        </is>
      </c>
      <c r="N1" s="58" t="inlineStr">
        <is>
          <t>Responses</t>
        </is>
      </c>
      <c r="O1" s="58" t="inlineStr">
        <is>
          <t>% score 4–5</t>
        </is>
      </c>
      <c r="P1" s="58" t="inlineStr">
        <is>
          <t>% score 1–2</t>
        </is>
      </c>
      <c r="Q1" s="58" t="inlineStr">
        <is>
          <t>Median score</t>
        </is>
      </c>
      <c r="R1" s="58" t="inlineStr">
        <is>
          <t>Consensus status</t>
        </is>
      </c>
      <c r="S1" s="58" t="inlineStr">
        <is>
          <t>Routine frequency statement?</t>
        </is>
      </c>
      <c r="T1" s="58" t="inlineStr">
        <is>
          <t>Suggested wording / comments</t>
        </is>
      </c>
    </row>
    <row r="2">
      <c r="A2" s="57" t="inlineStr">
        <is>
          <t>Bronchial artery embolisation (BAE)</t>
        </is>
      </c>
      <c r="B2" s="57" t="inlineStr">
        <is>
          <t>Chest discomfort and post-embolisation symptoms</t>
        </is>
      </c>
      <c r="C2" s="57" t="inlineStr">
        <is>
          <t>Core candidate</t>
        </is>
      </c>
      <c r="D2" s="57" t="inlineStr">
        <is>
          <t>No transferable universal rate; CIRSE describes major events as rare</t>
        </is>
      </c>
      <c r="E2" s="57" t="inlineStr">
        <is>
          <t>[1] Kettenbach et al. CIRSE Standards of Practice on Bronchial Artery Embolisation. 2022; DOI 10.1007/s00270-022-03127-w; PMID 35396612</t>
        </is>
      </c>
      <c r="F2" s="59" t="inlineStr"/>
      <c r="G2" s="59" t="inlineStr"/>
      <c r="H2" s="59" t="inlineStr"/>
      <c r="I2" s="59" t="inlineStr"/>
      <c r="J2" s="59" t="inlineStr"/>
      <c r="K2" s="59" t="inlineStr"/>
      <c r="L2" s="59" t="inlineStr"/>
      <c r="M2" s="59" t="inlineStr"/>
      <c r="N2" s="57">
        <f>COUNT(F2:M2)</f>
        <v/>
      </c>
      <c r="O2" s="60">
        <f>IF(N2=0,"",COUNTIF(F2:M2,"&gt;=4")/N2)</f>
        <v/>
      </c>
      <c r="P2" s="60">
        <f>IF(N2=0,"",COUNTIF(F2:M2,"&lt;=2")/N2)</f>
        <v/>
      </c>
      <c r="Q2" s="57">
        <f>IF(N2=0,"",MEDIAN(F2:M2))</f>
        <v/>
      </c>
      <c r="R2" s="61">
        <f>IF(N2=0,"Not scored",IF(O2&gt;=0.8,"Include",IF(P2&gt;=0.8,"Exclude","Round 2")))</f>
        <v/>
      </c>
      <c r="S2" s="57" t="inlineStr"/>
      <c r="T2" s="57" t="inlineStr"/>
    </row>
    <row r="3">
      <c r="A3" s="57" t="inlineStr">
        <is>
          <t>Bronchial artery embolisation (BAE)</t>
        </is>
      </c>
      <c r="B3" s="57" t="inlineStr">
        <is>
          <t>technical failure or recurrent haemoptysis</t>
        </is>
      </c>
      <c r="C3" s="57" t="inlineStr">
        <is>
          <t>Core candidate</t>
        </is>
      </c>
      <c r="D3" s="57" t="inlineStr">
        <is>
          <t>No transferable universal rate; CIRSE describes major events as rare</t>
        </is>
      </c>
      <c r="E3" s="57" t="inlineStr">
        <is>
          <t>[1] Kettenbach et al. CIRSE Standards of Practice on Bronchial Artery Embolisation. 2022; DOI 10.1007/s00270-022-03127-w; PMID 35396612</t>
        </is>
      </c>
      <c r="F3" s="59" t="inlineStr"/>
      <c r="G3" s="59" t="inlineStr"/>
      <c r="H3" s="59" t="inlineStr"/>
      <c r="I3" s="59" t="inlineStr"/>
      <c r="J3" s="59" t="inlineStr"/>
      <c r="K3" s="59" t="inlineStr"/>
      <c r="L3" s="59" t="inlineStr"/>
      <c r="M3" s="59" t="inlineStr"/>
      <c r="N3" s="57">
        <f>COUNT(F3:M3)</f>
        <v/>
      </c>
      <c r="O3" s="60">
        <f>IF(N3=0,"",COUNTIF(F3:M3,"&gt;=4")/N3)</f>
        <v/>
      </c>
      <c r="P3" s="60">
        <f>IF(N3=0,"",COUNTIF(F3:M3,"&lt;=2")/N3)</f>
        <v/>
      </c>
      <c r="Q3" s="57">
        <f>IF(N3=0,"",MEDIAN(F3:M3))</f>
        <v/>
      </c>
      <c r="R3" s="61">
        <f>IF(N3=0,"Not scored",IF(O3&gt;=0.8,"Include",IF(P3&gt;=0.8,"Exclude","Round 2")))</f>
        <v/>
      </c>
      <c r="S3" s="57" t="inlineStr"/>
      <c r="T3" s="57" t="inlineStr"/>
    </row>
    <row r="4">
      <c r="A4" s="57" t="inlineStr">
        <is>
          <t>Bronchial artery embolisation (BAE)</t>
        </is>
      </c>
      <c r="B4" s="57" t="inlineStr">
        <is>
          <t>Bronchial ischaemia/infarction</t>
        </is>
      </c>
      <c r="C4" s="57" t="inlineStr">
        <is>
          <t>Core candidate</t>
        </is>
      </c>
      <c r="D4" s="57" t="inlineStr">
        <is>
          <t>No transferable universal rate; CIRSE describes major events as rare</t>
        </is>
      </c>
      <c r="E4" s="57" t="inlineStr">
        <is>
          <t>[1] Kettenbach et al. CIRSE Standards of Practice on Bronchial Artery Embolisation. 2022; DOI 10.1007/s00270-022-03127-w; PMID 35396612</t>
        </is>
      </c>
      <c r="F4" s="59" t="inlineStr"/>
      <c r="G4" s="59" t="inlineStr"/>
      <c r="H4" s="59" t="inlineStr"/>
      <c r="I4" s="59" t="inlineStr"/>
      <c r="J4" s="59" t="inlineStr"/>
      <c r="K4" s="59" t="inlineStr"/>
      <c r="L4" s="59" t="inlineStr"/>
      <c r="M4" s="59" t="inlineStr"/>
      <c r="N4" s="57">
        <f>COUNT(F4:M4)</f>
        <v/>
      </c>
      <c r="O4" s="60">
        <f>IF(N4=0,"",COUNTIF(F4:M4,"&gt;=4")/N4)</f>
        <v/>
      </c>
      <c r="P4" s="60">
        <f>IF(N4=0,"",COUNTIF(F4:M4,"&lt;=2")/N4)</f>
        <v/>
      </c>
      <c r="Q4" s="57">
        <f>IF(N4=0,"",MEDIAN(F4:M4))</f>
        <v/>
      </c>
      <c r="R4" s="61">
        <f>IF(N4=0,"Not scored",IF(O4&gt;=0.8,"Include",IF(P4&gt;=0.8,"Exclude","Round 2")))</f>
        <v/>
      </c>
      <c r="S4" s="57" t="inlineStr"/>
      <c r="T4" s="57" t="inlineStr"/>
    </row>
    <row r="5">
      <c r="A5" s="57" t="inlineStr">
        <is>
          <t>Bronchial artery embolisation (BAE)</t>
        </is>
      </c>
      <c r="B5" s="57" t="inlineStr">
        <is>
          <t>oesophageal ischaemia</t>
        </is>
      </c>
      <c r="C5" s="57" t="inlineStr">
        <is>
          <t>Core candidate</t>
        </is>
      </c>
      <c r="D5" s="57" t="inlineStr">
        <is>
          <t>No transferable universal rate; CIRSE describes major events as rare</t>
        </is>
      </c>
      <c r="E5" s="57" t="inlineStr">
        <is>
          <t>[1] Kettenbach et al. CIRSE Standards of Practice on Bronchial Artery Embolisation. 2022; DOI 10.1007/s00270-022-03127-w; PMID 35396612</t>
        </is>
      </c>
      <c r="F5" s="59" t="inlineStr"/>
      <c r="G5" s="59" t="inlineStr"/>
      <c r="H5" s="59" t="inlineStr"/>
      <c r="I5" s="59" t="inlineStr"/>
      <c r="J5" s="59" t="inlineStr"/>
      <c r="K5" s="59" t="inlineStr"/>
      <c r="L5" s="59" t="inlineStr"/>
      <c r="M5" s="59" t="inlineStr"/>
      <c r="N5" s="57">
        <f>COUNT(F5:M5)</f>
        <v/>
      </c>
      <c r="O5" s="60">
        <f>IF(N5=0,"",COUNTIF(F5:M5,"&gt;=4")/N5)</f>
        <v/>
      </c>
      <c r="P5" s="60">
        <f>IF(N5=0,"",COUNTIF(F5:M5,"&lt;=2")/N5)</f>
        <v/>
      </c>
      <c r="Q5" s="57">
        <f>IF(N5=0,"",MEDIAN(F5:M5))</f>
        <v/>
      </c>
      <c r="R5" s="61">
        <f>IF(N5=0,"Not scored",IF(O5&gt;=0.8,"Include",IF(P5&gt;=0.8,"Exclude","Round 2")))</f>
        <v/>
      </c>
      <c r="S5" s="57" t="inlineStr"/>
      <c r="T5" s="57" t="inlineStr"/>
    </row>
    <row r="6">
      <c r="A6" s="57" t="inlineStr">
        <is>
          <t>Bronchial artery embolisation (BAE)</t>
        </is>
      </c>
      <c r="B6" s="57" t="inlineStr">
        <is>
          <t>Non-target embolisation causing spinal cord infarction/neurological deficit, stroke, myocardial or other systemic infarction</t>
        </is>
      </c>
      <c r="C6" s="57" t="inlineStr">
        <is>
          <t>Core candidate</t>
        </is>
      </c>
      <c r="D6" s="57" t="inlineStr">
        <is>
          <t>No transferable universal rate; CIRSE describes major events as rare</t>
        </is>
      </c>
      <c r="E6" s="57" t="inlineStr">
        <is>
          <t>[1] Kettenbach et al. CIRSE Standards of Practice on Bronchial Artery Embolisation. 2022; DOI 10.1007/s00270-022-03127-w; PMID 35396612</t>
        </is>
      </c>
      <c r="F6" s="59" t="inlineStr"/>
      <c r="G6" s="59" t="inlineStr"/>
      <c r="H6" s="59" t="inlineStr"/>
      <c r="I6" s="59" t="inlineStr"/>
      <c r="J6" s="59" t="inlineStr"/>
      <c r="K6" s="59" t="inlineStr"/>
      <c r="L6" s="59" t="inlineStr"/>
      <c r="M6" s="59" t="inlineStr"/>
      <c r="N6" s="57">
        <f>COUNT(F6:M6)</f>
        <v/>
      </c>
      <c r="O6" s="60">
        <f>IF(N6=0,"",COUNTIF(F6:M6,"&gt;=4")/N6)</f>
        <v/>
      </c>
      <c r="P6" s="60">
        <f>IF(N6=0,"",COUNTIF(F6:M6,"&lt;=2")/N6)</f>
        <v/>
      </c>
      <c r="Q6" s="57">
        <f>IF(N6=0,"",MEDIAN(F6:M6))</f>
        <v/>
      </c>
      <c r="R6" s="61">
        <f>IF(N6=0,"Not scored",IF(O6&gt;=0.8,"Include",IF(P6&gt;=0.8,"Exclude","Round 2")))</f>
        <v/>
      </c>
      <c r="S6" s="57" t="inlineStr"/>
      <c r="T6" s="57" t="inlineStr"/>
    </row>
    <row r="7">
      <c r="A7" s="57" t="inlineStr">
        <is>
          <t>Bronchial artery embolisation (BAE)</t>
        </is>
      </c>
      <c r="B7" s="57" t="inlineStr">
        <is>
          <t>rare oesophago-bronchial fistula</t>
        </is>
      </c>
      <c r="C7" s="57" t="inlineStr">
        <is>
          <t>Core candidate</t>
        </is>
      </c>
      <c r="D7" s="57" t="inlineStr">
        <is>
          <t>No transferable universal rate; CIRSE describes major events as rare</t>
        </is>
      </c>
      <c r="E7" s="57" t="inlineStr">
        <is>
          <t>[1] Kettenbach et al. CIRSE Standards of Practice on Bronchial Artery Embolisation. 2022; DOI 10.1007/s00270-022-03127-w; PMID 35396612</t>
        </is>
      </c>
      <c r="F7" s="59" t="inlineStr"/>
      <c r="G7" s="59" t="inlineStr"/>
      <c r="H7" s="59" t="inlineStr"/>
      <c r="I7" s="59" t="inlineStr"/>
      <c r="J7" s="59" t="inlineStr"/>
      <c r="K7" s="59" t="inlineStr"/>
      <c r="L7" s="59" t="inlineStr"/>
      <c r="M7" s="59" t="inlineStr"/>
      <c r="N7" s="57">
        <f>COUNT(F7:M7)</f>
        <v/>
      </c>
      <c r="O7" s="60">
        <f>IF(N7=0,"",COUNTIF(F7:M7,"&gt;=4")/N7)</f>
        <v/>
      </c>
      <c r="P7" s="60">
        <f>IF(N7=0,"",COUNTIF(F7:M7,"&lt;=2")/N7)</f>
        <v/>
      </c>
      <c r="Q7" s="57">
        <f>IF(N7=0,"",MEDIAN(F7:M7))</f>
        <v/>
      </c>
      <c r="R7" s="61">
        <f>IF(N7=0,"Not scored",IF(O7&gt;=0.8,"Include",IF(P7&gt;=0.8,"Exclude","Round 2")))</f>
        <v/>
      </c>
      <c r="S7" s="57" t="inlineStr"/>
      <c r="T7" s="57" t="inlineStr"/>
    </row>
    <row r="8">
      <c r="A8" s="57" t="inlineStr">
        <is>
          <t>Bronchial artery embolisation (BAE)</t>
        </is>
      </c>
      <c r="B8" s="57" t="inlineStr">
        <is>
          <t>Access bleeding/haematoma</t>
        </is>
      </c>
      <c r="C8" s="57" t="inlineStr">
        <is>
          <t>Core candidate</t>
        </is>
      </c>
      <c r="D8" s="57" t="inlineStr">
        <is>
          <t>No transferable universal rate; CIRSE describes major events as rare</t>
        </is>
      </c>
      <c r="E8" s="57" t="inlineStr">
        <is>
          <t>[1] Kettenbach et al. CIRSE Standards of Practice on Bronchial Artery Embolisation. 2022; DOI 10.1007/s00270-022-03127-w; PMID 35396612</t>
        </is>
      </c>
      <c r="F8" s="59" t="inlineStr"/>
      <c r="G8" s="59" t="inlineStr"/>
      <c r="H8" s="59" t="inlineStr"/>
      <c r="I8" s="59" t="inlineStr"/>
      <c r="J8" s="59" t="inlineStr"/>
      <c r="K8" s="59" t="inlineStr"/>
      <c r="L8" s="59" t="inlineStr"/>
      <c r="M8" s="59" t="inlineStr"/>
      <c r="N8" s="57">
        <f>COUNT(F8:M8)</f>
        <v/>
      </c>
      <c r="O8" s="60">
        <f>IF(N8=0,"",COUNTIF(F8:M8,"&gt;=4")/N8)</f>
        <v/>
      </c>
      <c r="P8" s="60">
        <f>IF(N8=0,"",COUNTIF(F8:M8,"&lt;=2")/N8)</f>
        <v/>
      </c>
      <c r="Q8" s="57">
        <f>IF(N8=0,"",MEDIAN(F8:M8))</f>
        <v/>
      </c>
      <c r="R8" s="61">
        <f>IF(N8=0,"Not scored",IF(O8&gt;=0.8,"Include",IF(P8&gt;=0.8,"Exclude","Round 2")))</f>
        <v/>
      </c>
      <c r="S8" s="57" t="inlineStr"/>
      <c r="T8" s="57" t="inlineStr"/>
    </row>
    <row r="9">
      <c r="A9" s="57" t="inlineStr">
        <is>
          <t>Bronchial artery embolisation (BAE)</t>
        </is>
      </c>
      <c r="B9" s="57" t="inlineStr">
        <is>
          <t>arterial injury</t>
        </is>
      </c>
      <c r="C9" s="57" t="inlineStr">
        <is>
          <t>Core candidate</t>
        </is>
      </c>
      <c r="D9" s="57" t="inlineStr">
        <is>
          <t>No transferable universal rate; CIRSE describes major events as rare</t>
        </is>
      </c>
      <c r="E9" s="57" t="inlineStr">
        <is>
          <t>[1] Kettenbach et al. CIRSE Standards of Practice on Bronchial Artery Embolisation. 2022; DOI 10.1007/s00270-022-03127-w; PMID 35396612</t>
        </is>
      </c>
      <c r="F9" s="59" t="inlineStr"/>
      <c r="G9" s="59" t="inlineStr"/>
      <c r="H9" s="59" t="inlineStr"/>
      <c r="I9" s="59" t="inlineStr"/>
      <c r="J9" s="59" t="inlineStr"/>
      <c r="K9" s="59" t="inlineStr"/>
      <c r="L9" s="59" t="inlineStr"/>
      <c r="M9" s="59" t="inlineStr"/>
      <c r="N9" s="57">
        <f>COUNT(F9:M9)</f>
        <v/>
      </c>
      <c r="O9" s="60">
        <f>IF(N9=0,"",COUNTIF(F9:M9,"&gt;=4")/N9)</f>
        <v/>
      </c>
      <c r="P9" s="60">
        <f>IF(N9=0,"",COUNTIF(F9:M9,"&lt;=2")/N9)</f>
        <v/>
      </c>
      <c r="Q9" s="57">
        <f>IF(N9=0,"",MEDIAN(F9:M9))</f>
        <v/>
      </c>
      <c r="R9" s="61">
        <f>IF(N9=0,"Not scored",IF(O9&gt;=0.8,"Include",IF(P9&gt;=0.8,"Exclude","Round 2")))</f>
        <v/>
      </c>
      <c r="S9" s="57" t="inlineStr"/>
      <c r="T9" s="57" t="inlineStr"/>
    </row>
    <row r="10">
      <c r="A10" s="57" t="inlineStr">
        <is>
          <t>Bronchial artery embolisation (BAE)</t>
        </is>
      </c>
      <c r="B10" s="57" t="inlineStr">
        <is>
          <t>Contrast reaction/AKI and radiation exposure when relevant</t>
        </is>
      </c>
      <c r="C10" s="57" t="inlineStr">
        <is>
          <t>Conditional / patient-specific</t>
        </is>
      </c>
      <c r="D10" s="57" t="inlineStr">
        <is>
          <t>No transferable universal rate; CIRSE describes major events as rare</t>
        </is>
      </c>
      <c r="E10" s="57" t="inlineStr">
        <is>
          <t>[1] Kettenbach et al. CIRSE Standards of Practice on Bronchial Artery Embolisation. 2022; DOI 10.1007/s00270-022-03127-w; PMID 35396612</t>
        </is>
      </c>
      <c r="F10" s="59" t="inlineStr"/>
      <c r="G10" s="59" t="inlineStr"/>
      <c r="H10" s="59" t="inlineStr"/>
      <c r="I10" s="59" t="inlineStr"/>
      <c r="J10" s="59" t="inlineStr"/>
      <c r="K10" s="59" t="inlineStr"/>
      <c r="L10" s="59" t="inlineStr"/>
      <c r="M10" s="59" t="inlineStr"/>
      <c r="N10" s="57">
        <f>COUNT(F10:M10)</f>
        <v/>
      </c>
      <c r="O10" s="60">
        <f>IF(N10=0,"",COUNTIF(F10:M10,"&gt;=4")/N10)</f>
        <v/>
      </c>
      <c r="P10" s="60">
        <f>IF(N10=0,"",COUNTIF(F10:M10,"&lt;=2")/N10)</f>
        <v/>
      </c>
      <c r="Q10" s="57">
        <f>IF(N10=0,"",MEDIAN(F10:M10))</f>
        <v/>
      </c>
      <c r="R10" s="61">
        <f>IF(N10=0,"Not scored",IF(O10&gt;=0.8,"Include",IF(P10&gt;=0.8,"Exclude","Round 2")))</f>
        <v/>
      </c>
      <c r="S10" s="57" t="inlineStr"/>
      <c r="T10" s="57" t="inlineStr"/>
    </row>
    <row r="11">
      <c r="A11" s="57" t="inlineStr">
        <is>
          <t>Bronchial artery embolisation (BAE)</t>
        </is>
      </c>
      <c r="B11" s="57" t="inlineStr">
        <is>
          <t>sedation if used</t>
        </is>
      </c>
      <c r="C11" s="57" t="inlineStr">
        <is>
          <t>Conditional / patient-specific</t>
        </is>
      </c>
      <c r="D11" s="57" t="inlineStr">
        <is>
          <t>No transferable universal rate; CIRSE describes major events as rare</t>
        </is>
      </c>
      <c r="E11" s="57" t="inlineStr">
        <is>
          <t>[1] Kettenbach et al. CIRSE Standards of Practice on Bronchial Artery Embolisation. 2022; DOI 10.1007/s00270-022-03127-w; PMID 35396612</t>
        </is>
      </c>
      <c r="F11" s="59" t="inlineStr"/>
      <c r="G11" s="59" t="inlineStr"/>
      <c r="H11" s="59" t="inlineStr"/>
      <c r="I11" s="59" t="inlineStr"/>
      <c r="J11" s="59" t="inlineStr"/>
      <c r="K11" s="59" t="inlineStr"/>
      <c r="L11" s="59" t="inlineStr"/>
      <c r="M11" s="59" t="inlineStr"/>
      <c r="N11" s="57">
        <f>COUNT(F11:M11)</f>
        <v/>
      </c>
      <c r="O11" s="60">
        <f>IF(N11=0,"",COUNTIF(F11:M11,"&gt;=4")/N11)</f>
        <v/>
      </c>
      <c r="P11" s="60">
        <f>IF(N11=0,"",COUNTIF(F11:M11,"&lt;=2")/N11)</f>
        <v/>
      </c>
      <c r="Q11" s="57">
        <f>IF(N11=0,"",MEDIAN(F11:M11))</f>
        <v/>
      </c>
      <c r="R11" s="61">
        <f>IF(N11=0,"Not scored",IF(O11&gt;=0.8,"Include",IF(P11&gt;=0.8,"Exclude","Round 2")))</f>
        <v/>
      </c>
      <c r="S11" s="57" t="inlineStr"/>
      <c r="T11" s="57" t="inlineStr"/>
    </row>
    <row r="12">
      <c r="A12" s="57" t="inlineStr">
        <is>
          <t>Bronchial artery embolisation (BAE)</t>
        </is>
      </c>
      <c r="B12" s="57" t="inlineStr">
        <is>
          <t>Anatomy, spinal feeders, shunts, embolic particle size, emergency status</t>
        </is>
      </c>
      <c r="C12" s="57" t="inlineStr">
        <is>
          <t>Conditional / patient-specific</t>
        </is>
      </c>
      <c r="D12" s="57" t="inlineStr">
        <is>
          <t>No transferable universal rate; CIRSE describes major events as rare</t>
        </is>
      </c>
      <c r="E12" s="57" t="inlineStr">
        <is>
          <t>[1] Kettenbach et al. CIRSE Standards of Practice on Bronchial Artery Embolisation. 2022; DOI 10.1007/s00270-022-03127-w; PMID 35396612</t>
        </is>
      </c>
      <c r="F12" s="59" t="inlineStr"/>
      <c r="G12" s="59" t="inlineStr"/>
      <c r="H12" s="59" t="inlineStr"/>
      <c r="I12" s="59" t="inlineStr"/>
      <c r="J12" s="59" t="inlineStr"/>
      <c r="K12" s="59" t="inlineStr"/>
      <c r="L12" s="59" t="inlineStr"/>
      <c r="M12" s="59" t="inlineStr"/>
      <c r="N12" s="57">
        <f>COUNT(F12:M12)</f>
        <v/>
      </c>
      <c r="O12" s="60">
        <f>IF(N12=0,"",COUNTIF(F12:M12,"&gt;=4")/N12)</f>
        <v/>
      </c>
      <c r="P12" s="60">
        <f>IF(N12=0,"",COUNTIF(F12:M12,"&lt;=2")/N12)</f>
        <v/>
      </c>
      <c r="Q12" s="57">
        <f>IF(N12=0,"",MEDIAN(F12:M12))</f>
        <v/>
      </c>
      <c r="R12" s="61">
        <f>IF(N12=0,"Not scored",IF(O12&gt;=0.8,"Include",IF(P12&gt;=0.8,"Exclude","Round 2")))</f>
        <v/>
      </c>
      <c r="S12" s="57" t="inlineStr"/>
      <c r="T12" s="57" t="inlineStr"/>
    </row>
    <row r="13">
      <c r="A13" s="57" t="inlineStr">
        <is>
          <t>Carotid artery angioplasty and stenting (CAS)</t>
        </is>
      </c>
      <c r="B13" s="57" t="inlineStr">
        <is>
          <t>Access-site bruising/bleeding</t>
        </is>
      </c>
      <c r="C13" s="57" t="inlineStr">
        <is>
          <t>Core candidate</t>
        </is>
      </c>
      <c r="D13" s="57" t="inlineStr">
        <is>
          <t>Rates differ by patient group and route; do not transfer CEA rates</t>
        </is>
      </c>
      <c r="E13" s="57" t="inlineStr">
        <is>
          <t>[2] CIRSE Standards of Practice on Carotid Artery Stenting. 2024; DOI 10.1007/s00270-024-03707-y; PMID 38683353</t>
        </is>
      </c>
      <c r="F13" s="59" t="inlineStr"/>
      <c r="G13" s="59" t="inlineStr"/>
      <c r="H13" s="59" t="inlineStr"/>
      <c r="I13" s="59" t="inlineStr"/>
      <c r="J13" s="59" t="inlineStr"/>
      <c r="K13" s="59" t="inlineStr"/>
      <c r="L13" s="59" t="inlineStr"/>
      <c r="M13" s="59" t="inlineStr"/>
      <c r="N13" s="57">
        <f>COUNT(F13:M13)</f>
        <v/>
      </c>
      <c r="O13" s="60">
        <f>IF(N13=0,"",COUNTIF(F13:M13,"&gt;=4")/N13)</f>
        <v/>
      </c>
      <c r="P13" s="60">
        <f>IF(N13=0,"",COUNTIF(F13:M13,"&lt;=2")/N13)</f>
        <v/>
      </c>
      <c r="Q13" s="57">
        <f>IF(N13=0,"",MEDIAN(F13:M13))</f>
        <v/>
      </c>
      <c r="R13" s="61">
        <f>IF(N13=0,"Not scored",IF(O13&gt;=0.8,"Include",IF(P13&gt;=0.8,"Exclude","Round 2")))</f>
        <v/>
      </c>
      <c r="S13" s="57" t="inlineStr"/>
      <c r="T13" s="57" t="inlineStr"/>
    </row>
    <row r="14">
      <c r="A14" s="57" t="inlineStr">
        <is>
          <t>Carotid artery angioplasty and stenting (CAS)</t>
        </is>
      </c>
      <c r="B14" s="57" t="inlineStr">
        <is>
          <t>transient haemodynamic effects</t>
        </is>
      </c>
      <c r="C14" s="57" t="inlineStr">
        <is>
          <t>Core candidate</t>
        </is>
      </c>
      <c r="D14" s="57" t="inlineStr">
        <is>
          <t>Rates differ by patient group and route; do not transfer CEA rates</t>
        </is>
      </c>
      <c r="E14" s="57" t="inlineStr">
        <is>
          <t>[2] CIRSE Standards of Practice on Carotid Artery Stenting. 2024; DOI 10.1007/s00270-024-03707-y; PMID 38683353</t>
        </is>
      </c>
      <c r="F14" s="59" t="inlineStr"/>
      <c r="G14" s="59" t="inlineStr"/>
      <c r="H14" s="59" t="inlineStr"/>
      <c r="I14" s="59" t="inlineStr"/>
      <c r="J14" s="59" t="inlineStr"/>
      <c r="K14" s="59" t="inlineStr"/>
      <c r="L14" s="59" t="inlineStr"/>
      <c r="M14" s="59" t="inlineStr"/>
      <c r="N14" s="57">
        <f>COUNT(F14:M14)</f>
        <v/>
      </c>
      <c r="O14" s="60">
        <f>IF(N14=0,"",COUNTIF(F14:M14,"&gt;=4")/N14)</f>
        <v/>
      </c>
      <c r="P14" s="60">
        <f>IF(N14=0,"",COUNTIF(F14:M14,"&lt;=2")/N14)</f>
        <v/>
      </c>
      <c r="Q14" s="57">
        <f>IF(N14=0,"",MEDIAN(F14:M14))</f>
        <v/>
      </c>
      <c r="R14" s="61">
        <f>IF(N14=0,"Not scored",IF(O14&gt;=0.8,"Include",IF(P14&gt;=0.8,"Exclude","Round 2")))</f>
        <v/>
      </c>
      <c r="S14" s="57" t="inlineStr"/>
      <c r="T14" s="57" t="inlineStr"/>
    </row>
    <row r="15">
      <c r="A15" s="57" t="inlineStr">
        <is>
          <t>Carotid artery angioplasty and stenting (CAS)</t>
        </is>
      </c>
      <c r="B15" s="57" t="inlineStr">
        <is>
          <t>TIA, stroke, distal embolisation</t>
        </is>
      </c>
      <c r="C15" s="57" t="inlineStr">
        <is>
          <t>Core candidate</t>
        </is>
      </c>
      <c r="D15" s="57" t="inlineStr">
        <is>
          <t>Rates differ by patient group and route; do not transfer CEA rates</t>
        </is>
      </c>
      <c r="E15" s="57" t="inlineStr">
        <is>
          <t>[2] CIRSE Standards of Practice on Carotid Artery Stenting. 2024; DOI 10.1007/s00270-024-03707-y; PMID 38683353</t>
        </is>
      </c>
      <c r="F15" s="59" t="inlineStr"/>
      <c r="G15" s="59" t="inlineStr"/>
      <c r="H15" s="59" t="inlineStr"/>
      <c r="I15" s="59" t="inlineStr"/>
      <c r="J15" s="59" t="inlineStr"/>
      <c r="K15" s="59" t="inlineStr"/>
      <c r="L15" s="59" t="inlineStr"/>
      <c r="M15" s="59" t="inlineStr"/>
      <c r="N15" s="57">
        <f>COUNT(F15:M15)</f>
        <v/>
      </c>
      <c r="O15" s="60">
        <f>IF(N15=0,"",COUNTIF(F15:M15,"&gt;=4")/N15)</f>
        <v/>
      </c>
      <c r="P15" s="60">
        <f>IF(N15=0,"",COUNTIF(F15:M15,"&lt;=2")/N15)</f>
        <v/>
      </c>
      <c r="Q15" s="57">
        <f>IF(N15=0,"",MEDIAN(F15:M15))</f>
        <v/>
      </c>
      <c r="R15" s="61">
        <f>IF(N15=0,"Not scored",IF(O15&gt;=0.8,"Include",IF(P15&gt;=0.8,"Exclude","Round 2")))</f>
        <v/>
      </c>
      <c r="S15" s="57" t="inlineStr"/>
      <c r="T15" s="57" t="inlineStr"/>
    </row>
    <row r="16">
      <c r="A16" s="57" t="inlineStr">
        <is>
          <t>Carotid artery angioplasty and stenting (CAS)</t>
        </is>
      </c>
      <c r="B16" s="57" t="inlineStr">
        <is>
          <t>bradycardia/hypotension</t>
        </is>
      </c>
      <c r="C16" s="57" t="inlineStr">
        <is>
          <t>Core candidate</t>
        </is>
      </c>
      <c r="D16" s="57" t="inlineStr">
        <is>
          <t>Rates differ by patient group and route; do not transfer CEA rates</t>
        </is>
      </c>
      <c r="E16" s="57" t="inlineStr">
        <is>
          <t>[2] CIRSE Standards of Practice on Carotid Artery Stenting. 2024; DOI 10.1007/s00270-024-03707-y; PMID 38683353</t>
        </is>
      </c>
      <c r="F16" s="59" t="inlineStr"/>
      <c r="G16" s="59" t="inlineStr"/>
      <c r="H16" s="59" t="inlineStr"/>
      <c r="I16" s="59" t="inlineStr"/>
      <c r="J16" s="59" t="inlineStr"/>
      <c r="K16" s="59" t="inlineStr"/>
      <c r="L16" s="59" t="inlineStr"/>
      <c r="M16" s="59" t="inlineStr"/>
      <c r="N16" s="57">
        <f>COUNT(F16:M16)</f>
        <v/>
      </c>
      <c r="O16" s="60">
        <f>IF(N16=0,"",COUNTIF(F16:M16,"&gt;=4")/N16)</f>
        <v/>
      </c>
      <c r="P16" s="60">
        <f>IF(N16=0,"",COUNTIF(F16:M16,"&lt;=2")/N16)</f>
        <v/>
      </c>
      <c r="Q16" s="57">
        <f>IF(N16=0,"",MEDIAN(F16:M16))</f>
        <v/>
      </c>
      <c r="R16" s="61">
        <f>IF(N16=0,"Not scored",IF(O16&gt;=0.8,"Include",IF(P16&gt;=0.8,"Exclude","Round 2")))</f>
        <v/>
      </c>
      <c r="S16" s="57" t="inlineStr"/>
      <c r="T16" s="57" t="inlineStr"/>
    </row>
    <row r="17">
      <c r="A17" s="57" t="inlineStr">
        <is>
          <t>Carotid artery angioplasty and stenting (CAS)</t>
        </is>
      </c>
      <c r="B17" s="57" t="inlineStr">
        <is>
          <t>Disabling/fatal stroke</t>
        </is>
      </c>
      <c r="C17" s="57" t="inlineStr">
        <is>
          <t>Core candidate</t>
        </is>
      </c>
      <c r="D17" s="57" t="inlineStr">
        <is>
          <t>Rates differ by patient group and route; do not transfer CEA rates</t>
        </is>
      </c>
      <c r="E17" s="57" t="inlineStr">
        <is>
          <t>[2] CIRSE Standards of Practice on Carotid Artery Stenting. 2024; DOI 10.1007/s00270-024-03707-y; PMID 38683353</t>
        </is>
      </c>
      <c r="F17" s="59" t="inlineStr"/>
      <c r="G17" s="59" t="inlineStr"/>
      <c r="H17" s="59" t="inlineStr"/>
      <c r="I17" s="59" t="inlineStr"/>
      <c r="J17" s="59" t="inlineStr"/>
      <c r="K17" s="59" t="inlineStr"/>
      <c r="L17" s="59" t="inlineStr"/>
      <c r="M17" s="59" t="inlineStr"/>
      <c r="N17" s="57">
        <f>COUNT(F17:M17)</f>
        <v/>
      </c>
      <c r="O17" s="60">
        <f>IF(N17=0,"",COUNTIF(F17:M17,"&gt;=4")/N17)</f>
        <v/>
      </c>
      <c r="P17" s="60">
        <f>IF(N17=0,"",COUNTIF(F17:M17,"&lt;=2")/N17)</f>
        <v/>
      </c>
      <c r="Q17" s="57">
        <f>IF(N17=0,"",MEDIAN(F17:M17))</f>
        <v/>
      </c>
      <c r="R17" s="61">
        <f>IF(N17=0,"Not scored",IF(O17&gt;=0.8,"Include",IF(P17&gt;=0.8,"Exclude","Round 2")))</f>
        <v/>
      </c>
      <c r="S17" s="57" t="inlineStr"/>
      <c r="T17" s="57" t="inlineStr"/>
    </row>
    <row r="18">
      <c r="A18" s="57" t="inlineStr">
        <is>
          <t>Carotid artery angioplasty and stenting (CAS)</t>
        </is>
      </c>
      <c r="B18" s="57" t="inlineStr">
        <is>
          <t>hyperperfusion syndrome/intracranial haemorrhage</t>
        </is>
      </c>
      <c r="C18" s="57" t="inlineStr">
        <is>
          <t>Core candidate</t>
        </is>
      </c>
      <c r="D18" s="57" t="inlineStr">
        <is>
          <t>Rates differ by patient group and route; do not transfer CEA rates</t>
        </is>
      </c>
      <c r="E18" s="57" t="inlineStr">
        <is>
          <t>[2] CIRSE Standards of Practice on Carotid Artery Stenting. 2024; DOI 10.1007/s00270-024-03707-y; PMID 38683353</t>
        </is>
      </c>
      <c r="F18" s="59" t="inlineStr"/>
      <c r="G18" s="59" t="inlineStr"/>
      <c r="H18" s="59" t="inlineStr"/>
      <c r="I18" s="59" t="inlineStr"/>
      <c r="J18" s="59" t="inlineStr"/>
      <c r="K18" s="59" t="inlineStr"/>
      <c r="L18" s="59" t="inlineStr"/>
      <c r="M18" s="59" t="inlineStr"/>
      <c r="N18" s="57">
        <f>COUNT(F18:M18)</f>
        <v/>
      </c>
      <c r="O18" s="60">
        <f>IF(N18=0,"",COUNTIF(F18:M18,"&gt;=4")/N18)</f>
        <v/>
      </c>
      <c r="P18" s="60">
        <f>IF(N18=0,"",COUNTIF(F18:M18,"&lt;=2")/N18)</f>
        <v/>
      </c>
      <c r="Q18" s="57">
        <f>IF(N18=0,"",MEDIAN(F18:M18))</f>
        <v/>
      </c>
      <c r="R18" s="61">
        <f>IF(N18=0,"Not scored",IF(O18&gt;=0.8,"Include",IF(P18&gt;=0.8,"Exclude","Round 2")))</f>
        <v/>
      </c>
      <c r="S18" s="57" t="inlineStr"/>
      <c r="T18" s="57" t="inlineStr"/>
    </row>
    <row r="19">
      <c r="A19" s="57" t="inlineStr">
        <is>
          <t>Carotid artery angioplasty and stenting (CAS)</t>
        </is>
      </c>
      <c r="B19" s="57" t="inlineStr">
        <is>
          <t>carotid dissection, perforation, rupture or acute occlusion</t>
        </is>
      </c>
      <c r="C19" s="57" t="inlineStr">
        <is>
          <t>Core candidate</t>
        </is>
      </c>
      <c r="D19" s="57" t="inlineStr">
        <is>
          <t>Rates differ by patient group and route; do not transfer CEA rates</t>
        </is>
      </c>
      <c r="E19" s="57" t="inlineStr">
        <is>
          <t>[2] CIRSE Standards of Practice on Carotid Artery Stenting. 2024; DOI 10.1007/s00270-024-03707-y; PMID 38683353</t>
        </is>
      </c>
      <c r="F19" s="59" t="inlineStr"/>
      <c r="G19" s="59" t="inlineStr"/>
      <c r="H19" s="59" t="inlineStr"/>
      <c r="I19" s="59" t="inlineStr"/>
      <c r="J19" s="59" t="inlineStr"/>
      <c r="K19" s="59" t="inlineStr"/>
      <c r="L19" s="59" t="inlineStr"/>
      <c r="M19" s="59" t="inlineStr"/>
      <c r="N19" s="57">
        <f>COUNT(F19:M19)</f>
        <v/>
      </c>
      <c r="O19" s="60">
        <f>IF(N19=0,"",COUNTIF(F19:M19,"&gt;=4")/N19)</f>
        <v/>
      </c>
      <c r="P19" s="60">
        <f>IF(N19=0,"",COUNTIF(F19:M19,"&lt;=2")/N19)</f>
        <v/>
      </c>
      <c r="Q19" s="57">
        <f>IF(N19=0,"",MEDIAN(F19:M19))</f>
        <v/>
      </c>
      <c r="R19" s="61">
        <f>IF(N19=0,"Not scored",IF(O19&gt;=0.8,"Include",IF(P19&gt;=0.8,"Exclude","Round 2")))</f>
        <v/>
      </c>
      <c r="S19" s="57" t="inlineStr"/>
      <c r="T19" s="57" t="inlineStr"/>
    </row>
    <row r="20">
      <c r="A20" s="57" t="inlineStr">
        <is>
          <t>Carotid artery angioplasty and stenting (CAS)</t>
        </is>
      </c>
      <c r="B20" s="57" t="inlineStr">
        <is>
          <t>Bleeding/haematoma, pseudoaneurysm, arterial injury or occlusion</t>
        </is>
      </c>
      <c r="C20" s="57" t="inlineStr">
        <is>
          <t>Core candidate</t>
        </is>
      </c>
      <c r="D20" s="57" t="inlineStr">
        <is>
          <t>Rates differ by patient group and route; do not transfer CEA rates</t>
        </is>
      </c>
      <c r="E20" s="57" t="inlineStr">
        <is>
          <t>[2] CIRSE Standards of Practice on Carotid Artery Stenting. 2024; DOI 10.1007/s00270-024-03707-y; PMID 38683353</t>
        </is>
      </c>
      <c r="F20" s="59" t="inlineStr"/>
      <c r="G20" s="59" t="inlineStr"/>
      <c r="H20" s="59" t="inlineStr"/>
      <c r="I20" s="59" t="inlineStr"/>
      <c r="J20" s="59" t="inlineStr"/>
      <c r="K20" s="59" t="inlineStr"/>
      <c r="L20" s="59" t="inlineStr"/>
      <c r="M20" s="59" t="inlineStr"/>
      <c r="N20" s="57">
        <f>COUNT(F20:M20)</f>
        <v/>
      </c>
      <c r="O20" s="60">
        <f>IF(N20=0,"",COUNTIF(F20:M20,"&gt;=4")/N20)</f>
        <v/>
      </c>
      <c r="P20" s="60">
        <f>IF(N20=0,"",COUNTIF(F20:M20,"&lt;=2")/N20)</f>
        <v/>
      </c>
      <c r="Q20" s="57">
        <f>IF(N20=0,"",MEDIAN(F20:M20))</f>
        <v/>
      </c>
      <c r="R20" s="61">
        <f>IF(N20=0,"Not scored",IF(O20&gt;=0.8,"Include",IF(P20&gt;=0.8,"Exclude","Round 2")))</f>
        <v/>
      </c>
      <c r="S20" s="57" t="inlineStr"/>
      <c r="T20" s="57" t="inlineStr"/>
    </row>
    <row r="21">
      <c r="A21" s="57" t="inlineStr">
        <is>
          <t>Carotid artery angioplasty and stenting (CAS)</t>
        </is>
      </c>
      <c r="B21" s="57" t="inlineStr">
        <is>
          <t>Contrast reaction/AKI and radiation exposure</t>
        </is>
      </c>
      <c r="C21" s="57" t="inlineStr">
        <is>
          <t>Conditional / patient-specific</t>
        </is>
      </c>
      <c r="D21" s="57" t="inlineStr">
        <is>
          <t>Rates differ by patient group and route; do not transfer CEA rates</t>
        </is>
      </c>
      <c r="E21" s="57" t="inlineStr">
        <is>
          <t>[2] CIRSE Standards of Practice on Carotid Artery Stenting. 2024; DOI 10.1007/s00270-024-03707-y; PMID 38683353</t>
        </is>
      </c>
      <c r="F21" s="59" t="inlineStr"/>
      <c r="G21" s="59" t="inlineStr"/>
      <c r="H21" s="59" t="inlineStr"/>
      <c r="I21" s="59" t="inlineStr"/>
      <c r="J21" s="59" t="inlineStr"/>
      <c r="K21" s="59" t="inlineStr"/>
      <c r="L21" s="59" t="inlineStr"/>
      <c r="M21" s="59" t="inlineStr"/>
      <c r="N21" s="57">
        <f>COUNT(F21:M21)</f>
        <v/>
      </c>
      <c r="O21" s="60">
        <f>IF(N21=0,"",COUNTIF(F21:M21,"&gt;=4")/N21)</f>
        <v/>
      </c>
      <c r="P21" s="60">
        <f>IF(N21=0,"",COUNTIF(F21:M21,"&lt;=2")/N21)</f>
        <v/>
      </c>
      <c r="Q21" s="57">
        <f>IF(N21=0,"",MEDIAN(F21:M21))</f>
        <v/>
      </c>
      <c r="R21" s="61">
        <f>IF(N21=0,"Not scored",IF(O21&gt;=0.8,"Include",IF(P21&gt;=0.8,"Exclude","Round 2")))</f>
        <v/>
      </c>
      <c r="S21" s="57" t="inlineStr"/>
      <c r="T21" s="57" t="inlineStr"/>
    </row>
    <row r="22">
      <c r="A22" s="57" t="inlineStr">
        <is>
          <t>Carotid artery angioplasty and stenting (CAS)</t>
        </is>
      </c>
      <c r="B22" s="57" t="inlineStr">
        <is>
          <t>sedation if used</t>
        </is>
      </c>
      <c r="C22" s="57" t="inlineStr">
        <is>
          <t>Conditional / patient-specific</t>
        </is>
      </c>
      <c r="D22" s="57" t="inlineStr">
        <is>
          <t>Rates differ by patient group and route; do not transfer CEA rates</t>
        </is>
      </c>
      <c r="E22" s="57" t="inlineStr">
        <is>
          <t>[2] CIRSE Standards of Practice on Carotid Artery Stenting. 2024; DOI 10.1007/s00270-024-03707-y; PMID 38683353</t>
        </is>
      </c>
      <c r="F22" s="59" t="inlineStr"/>
      <c r="G22" s="59" t="inlineStr"/>
      <c r="H22" s="59" t="inlineStr"/>
      <c r="I22" s="59" t="inlineStr"/>
      <c r="J22" s="59" t="inlineStr"/>
      <c r="K22" s="59" t="inlineStr"/>
      <c r="L22" s="59" t="inlineStr"/>
      <c r="M22" s="59" t="inlineStr"/>
      <c r="N22" s="57">
        <f>COUNT(F22:M22)</f>
        <v/>
      </c>
      <c r="O22" s="60">
        <f>IF(N22=0,"",COUNTIF(F22:M22,"&gt;=4")/N22)</f>
        <v/>
      </c>
      <c r="P22" s="60">
        <f>IF(N22=0,"",COUNTIF(F22:M22,"&lt;=2")/N22)</f>
        <v/>
      </c>
      <c r="Q22" s="57">
        <f>IF(N22=0,"",MEDIAN(F22:M22))</f>
        <v/>
      </c>
      <c r="R22" s="61">
        <f>IF(N22=0,"Not scored",IF(O22&gt;=0.8,"Include",IF(P22&gt;=0.8,"Exclude","Round 2")))</f>
        <v/>
      </c>
      <c r="S22" s="57" t="inlineStr"/>
      <c r="T22" s="57" t="inlineStr"/>
    </row>
    <row r="23">
      <c r="A23" s="57" t="inlineStr">
        <is>
          <t>Carotid artery angioplasty and stenting (CAS)</t>
        </is>
      </c>
      <c r="B23" s="57" t="inlineStr">
        <is>
          <t>Symptomatic status, access route, anatomy, age, comorbidity, antiplatelet plan</t>
        </is>
      </c>
      <c r="C23" s="57" t="inlineStr">
        <is>
          <t>Conditional / patient-specific</t>
        </is>
      </c>
      <c r="D23" s="57" t="inlineStr">
        <is>
          <t>Rates differ by patient group and route; do not transfer CEA rates</t>
        </is>
      </c>
      <c r="E23" s="57" t="inlineStr">
        <is>
          <t>[2] CIRSE Standards of Practice on Carotid Artery Stenting. 2024; DOI 10.1007/s00270-024-03707-y; PMID 38683353</t>
        </is>
      </c>
      <c r="F23" s="59" t="inlineStr"/>
      <c r="G23" s="59" t="inlineStr"/>
      <c r="H23" s="59" t="inlineStr"/>
      <c r="I23" s="59" t="inlineStr"/>
      <c r="J23" s="59" t="inlineStr"/>
      <c r="K23" s="59" t="inlineStr"/>
      <c r="L23" s="59" t="inlineStr"/>
      <c r="M23" s="59" t="inlineStr"/>
      <c r="N23" s="57">
        <f>COUNT(F23:M23)</f>
        <v/>
      </c>
      <c r="O23" s="60">
        <f>IF(N23=0,"",COUNTIF(F23:M23,"&gt;=4")/N23)</f>
        <v/>
      </c>
      <c r="P23" s="60">
        <f>IF(N23=0,"",COUNTIF(F23:M23,"&lt;=2")/N23)</f>
        <v/>
      </c>
      <c r="Q23" s="57">
        <f>IF(N23=0,"",MEDIAN(F23:M23))</f>
        <v/>
      </c>
      <c r="R23" s="61">
        <f>IF(N23=0,"Not scored",IF(O23&gt;=0.8,"Include",IF(P23&gt;=0.8,"Exclude","Round 2")))</f>
        <v/>
      </c>
      <c r="S23" s="57" t="inlineStr"/>
      <c r="T23" s="57" t="inlineStr"/>
    </row>
    <row r="24">
      <c r="A24" s="57" t="inlineStr">
        <is>
          <t>Diagnostic angiography</t>
        </is>
      </c>
      <c r="B24" s="57" t="inlineStr">
        <is>
          <t>Access-site pain/bruising/haematoma</t>
        </is>
      </c>
      <c r="C24" s="57" t="inlineStr">
        <is>
          <t>Core candidate</t>
        </is>
      </c>
      <c r="D24" s="57" t="inlineStr">
        <is>
          <t>No single rate applies across access sites and territories</t>
        </is>
      </c>
      <c r="E24" s="57" t="inlineStr">
        <is>
          <t>[3] CIRSE Standards of Practice on Arterial Access for Interventions. 2023; PMID 36705706. [4] SIR diagnostic arteriography source, as cited in original, 2013; exact title/page not verified</t>
        </is>
      </c>
      <c r="F24" s="59" t="inlineStr"/>
      <c r="G24" s="59" t="inlineStr"/>
      <c r="H24" s="59" t="inlineStr"/>
      <c r="I24" s="59" t="inlineStr"/>
      <c r="J24" s="59" t="inlineStr"/>
      <c r="K24" s="59" t="inlineStr"/>
      <c r="L24" s="59" t="inlineStr"/>
      <c r="M24" s="59" t="inlineStr"/>
      <c r="N24" s="57">
        <f>COUNT(F24:M24)</f>
        <v/>
      </c>
      <c r="O24" s="60">
        <f>IF(N24=0,"",COUNTIF(F24:M24,"&gt;=4")/N24)</f>
        <v/>
      </c>
      <c r="P24" s="60">
        <f>IF(N24=0,"",COUNTIF(F24:M24,"&lt;=2")/N24)</f>
        <v/>
      </c>
      <c r="Q24" s="57">
        <f>IF(N24=0,"",MEDIAN(F24:M24))</f>
        <v/>
      </c>
      <c r="R24" s="61">
        <f>IF(N24=0,"Not scored",IF(O24&gt;=0.8,"Include",IF(P24&gt;=0.8,"Exclude","Round 2")))</f>
        <v/>
      </c>
      <c r="S24" s="57" t="inlineStr"/>
      <c r="T24" s="57" t="inlineStr"/>
    </row>
    <row r="25">
      <c r="A25" s="57" t="inlineStr">
        <is>
          <t>Diagnostic angiography</t>
        </is>
      </c>
      <c r="B25" s="57" t="inlineStr">
        <is>
          <t>Arterial injury/dissection, thrombosis/occlusion, distal embolisation, pseudoaneurysm or AV fistula</t>
        </is>
      </c>
      <c r="C25" s="57" t="inlineStr">
        <is>
          <t>Core candidate</t>
        </is>
      </c>
      <c r="D25" s="57" t="inlineStr">
        <is>
          <t>No single rate applies across access sites and territories</t>
        </is>
      </c>
      <c r="E25" s="57" t="inlineStr">
        <is>
          <t>[3] CIRSE Standards of Practice on Arterial Access for Interventions. 2023; PMID 36705706. [4] SIR diagnostic arteriography source, as cited in original, 2013; exact title/page not verified</t>
        </is>
      </c>
      <c r="F25" s="59" t="inlineStr"/>
      <c r="G25" s="59" t="inlineStr"/>
      <c r="H25" s="59" t="inlineStr"/>
      <c r="I25" s="59" t="inlineStr"/>
      <c r="J25" s="59" t="inlineStr"/>
      <c r="K25" s="59" t="inlineStr"/>
      <c r="L25" s="59" t="inlineStr"/>
      <c r="M25" s="59" t="inlineStr"/>
      <c r="N25" s="57">
        <f>COUNT(F25:M25)</f>
        <v/>
      </c>
      <c r="O25" s="60">
        <f>IF(N25=0,"",COUNTIF(F25:M25,"&gt;=4")/N25)</f>
        <v/>
      </c>
      <c r="P25" s="60">
        <f>IF(N25=0,"",COUNTIF(F25:M25,"&lt;=2")/N25)</f>
        <v/>
      </c>
      <c r="Q25" s="57">
        <f>IF(N25=0,"",MEDIAN(F25:M25))</f>
        <v/>
      </c>
      <c r="R25" s="61">
        <f>IF(N25=0,"Not scored",IF(O25&gt;=0.8,"Include",IF(P25&gt;=0.8,"Exclude","Round 2")))</f>
        <v/>
      </c>
      <c r="S25" s="57" t="inlineStr"/>
      <c r="T25" s="57" t="inlineStr"/>
    </row>
    <row r="26">
      <c r="A26" s="57" t="inlineStr">
        <is>
          <t>Diagnostic angiography</t>
        </is>
      </c>
      <c r="B26" s="57" t="inlineStr">
        <is>
          <t>Perforation/rupture</t>
        </is>
      </c>
      <c r="C26" s="57" t="inlineStr">
        <is>
          <t>Core candidate</t>
        </is>
      </c>
      <c r="D26" s="57" t="inlineStr">
        <is>
          <t>No single rate applies across access sites and territories</t>
        </is>
      </c>
      <c r="E26" s="57" t="inlineStr">
        <is>
          <t>[3] CIRSE Standards of Practice on Arterial Access for Interventions. 2023; PMID 36705706. [4] SIR diagnostic arteriography source, as cited in original, 2013; exact title/page not verified</t>
        </is>
      </c>
      <c r="F26" s="59" t="inlineStr"/>
      <c r="G26" s="59" t="inlineStr"/>
      <c r="H26" s="59" t="inlineStr"/>
      <c r="I26" s="59" t="inlineStr"/>
      <c r="J26" s="59" t="inlineStr"/>
      <c r="K26" s="59" t="inlineStr"/>
      <c r="L26" s="59" t="inlineStr"/>
      <c r="M26" s="59" t="inlineStr"/>
      <c r="N26" s="57">
        <f>COUNT(F26:M26)</f>
        <v/>
      </c>
      <c r="O26" s="60">
        <f>IF(N26=0,"",COUNTIF(F26:M26,"&gt;=4")/N26)</f>
        <v/>
      </c>
      <c r="P26" s="60">
        <f>IF(N26=0,"",COUNTIF(F26:M26,"&lt;=2")/N26)</f>
        <v/>
      </c>
      <c r="Q26" s="57">
        <f>IF(N26=0,"",MEDIAN(F26:M26))</f>
        <v/>
      </c>
      <c r="R26" s="61">
        <f>IF(N26=0,"Not scored",IF(O26&gt;=0.8,"Include",IF(P26&gt;=0.8,"Exclude","Round 2")))</f>
        <v/>
      </c>
      <c r="S26" s="57" t="inlineStr"/>
      <c r="T26" s="57" t="inlineStr"/>
    </row>
    <row r="27">
      <c r="A27" s="57" t="inlineStr">
        <is>
          <t>Diagnostic angiography</t>
        </is>
      </c>
      <c r="B27" s="57" t="inlineStr">
        <is>
          <t>territory-specific ischaemic injury</t>
        </is>
      </c>
      <c r="C27" s="57" t="inlineStr">
        <is>
          <t>Core candidate</t>
        </is>
      </c>
      <c r="D27" s="57" t="inlineStr">
        <is>
          <t>No single rate applies across access sites and territories</t>
        </is>
      </c>
      <c r="E27" s="57" t="inlineStr">
        <is>
          <t>[3] CIRSE Standards of Practice on Arterial Access for Interventions. 2023; PMID 36705706. [4] SIR diagnostic arteriography source, as cited in original, 2013; exact title/page not verified</t>
        </is>
      </c>
      <c r="F27" s="59" t="inlineStr"/>
      <c r="G27" s="59" t="inlineStr"/>
      <c r="H27" s="59" t="inlineStr"/>
      <c r="I27" s="59" t="inlineStr"/>
      <c r="J27" s="59" t="inlineStr"/>
      <c r="K27" s="59" t="inlineStr"/>
      <c r="L27" s="59" t="inlineStr"/>
      <c r="M27" s="59" t="inlineStr"/>
      <c r="N27" s="57">
        <f>COUNT(F27:M27)</f>
        <v/>
      </c>
      <c r="O27" s="60">
        <f>IF(N27=0,"",COUNTIF(F27:M27,"&gt;=4")/N27)</f>
        <v/>
      </c>
      <c r="P27" s="60">
        <f>IF(N27=0,"",COUNTIF(F27:M27,"&lt;=2")/N27)</f>
        <v/>
      </c>
      <c r="Q27" s="57">
        <f>IF(N27=0,"",MEDIAN(F27:M27))</f>
        <v/>
      </c>
      <c r="R27" s="61">
        <f>IF(N27=0,"Not scored",IF(O27&gt;=0.8,"Include",IF(P27&gt;=0.8,"Exclude","Round 2")))</f>
        <v/>
      </c>
      <c r="S27" s="57" t="inlineStr"/>
      <c r="T27" s="57" t="inlineStr"/>
    </row>
    <row r="28">
      <c r="A28" s="57" t="inlineStr">
        <is>
          <t>Diagnostic angiography</t>
        </is>
      </c>
      <c r="B28" s="57" t="inlineStr">
        <is>
          <t>stroke only if cerebral/supra-aortic catheterisation or relevant context</t>
        </is>
      </c>
      <c r="C28" s="57" t="inlineStr">
        <is>
          <t>Core candidate</t>
        </is>
      </c>
      <c r="D28" s="57" t="inlineStr">
        <is>
          <t>No single rate applies across access sites and territories</t>
        </is>
      </c>
      <c r="E28" s="57" t="inlineStr">
        <is>
          <t>[3] CIRSE Standards of Practice on Arterial Access for Interventions. 2023; PMID 36705706. [4] SIR diagnostic arteriography source, as cited in original, 2013; exact title/page not verified</t>
        </is>
      </c>
      <c r="F28" s="59" t="inlineStr"/>
      <c r="G28" s="59" t="inlineStr"/>
      <c r="H28" s="59" t="inlineStr"/>
      <c r="I28" s="59" t="inlineStr"/>
      <c r="J28" s="59" t="inlineStr"/>
      <c r="K28" s="59" t="inlineStr"/>
      <c r="L28" s="59" t="inlineStr"/>
      <c r="M28" s="59" t="inlineStr"/>
      <c r="N28" s="57">
        <f>COUNT(F28:M28)</f>
        <v/>
      </c>
      <c r="O28" s="60">
        <f>IF(N28=0,"",COUNTIF(F28:M28,"&gt;=4")/N28)</f>
        <v/>
      </c>
      <c r="P28" s="60">
        <f>IF(N28=0,"",COUNTIF(F28:M28,"&lt;=2")/N28)</f>
        <v/>
      </c>
      <c r="Q28" s="57">
        <f>IF(N28=0,"",MEDIAN(F28:M28))</f>
        <v/>
      </c>
      <c r="R28" s="61">
        <f>IF(N28=0,"Not scored",IF(O28&gt;=0.8,"Include",IF(P28&gt;=0.8,"Exclude","Round 2")))</f>
        <v/>
      </c>
      <c r="S28" s="57" t="inlineStr"/>
      <c r="T28" s="57" t="inlineStr"/>
    </row>
    <row r="29">
      <c r="A29" s="57" t="inlineStr">
        <is>
          <t>Diagnostic angiography</t>
        </is>
      </c>
      <c r="B29" s="57" t="inlineStr">
        <is>
          <t>Bleeding/haematoma, pseudoaneurysm, AV fistula, arterial injury/occlusion</t>
        </is>
      </c>
      <c r="C29" s="57" t="inlineStr">
        <is>
          <t>Core candidate</t>
        </is>
      </c>
      <c r="D29" s="57" t="inlineStr">
        <is>
          <t>No single rate applies across access sites and territories</t>
        </is>
      </c>
      <c r="E29" s="57" t="inlineStr">
        <is>
          <t>[3] CIRSE Standards of Practice on Arterial Access for Interventions. 2023; PMID 36705706. [4] SIR diagnostic arteriography source, as cited in original, 2013; exact title/page not verified</t>
        </is>
      </c>
      <c r="F29" s="59" t="inlineStr"/>
      <c r="G29" s="59" t="inlineStr"/>
      <c r="H29" s="59" t="inlineStr"/>
      <c r="I29" s="59" t="inlineStr"/>
      <c r="J29" s="59" t="inlineStr"/>
      <c r="K29" s="59" t="inlineStr"/>
      <c r="L29" s="59" t="inlineStr"/>
      <c r="M29" s="59" t="inlineStr"/>
      <c r="N29" s="57">
        <f>COUNT(F29:M29)</f>
        <v/>
      </c>
      <c r="O29" s="60">
        <f>IF(N29=0,"",COUNTIF(F29:M29,"&gt;=4")/N29)</f>
        <v/>
      </c>
      <c r="P29" s="60">
        <f>IF(N29=0,"",COUNTIF(F29:M29,"&lt;=2")/N29)</f>
        <v/>
      </c>
      <c r="Q29" s="57">
        <f>IF(N29=0,"",MEDIAN(F29:M29))</f>
        <v/>
      </c>
      <c r="R29" s="61">
        <f>IF(N29=0,"Not scored",IF(O29&gt;=0.8,"Include",IF(P29&gt;=0.8,"Exclude","Round 2")))</f>
        <v/>
      </c>
      <c r="S29" s="57" t="inlineStr"/>
      <c r="T29" s="57" t="inlineStr"/>
    </row>
    <row r="30">
      <c r="A30" s="57" t="inlineStr">
        <is>
          <t>Diagnostic angiography</t>
        </is>
      </c>
      <c r="B30" s="57" t="inlineStr">
        <is>
          <t>Contrast reaction/AKI</t>
        </is>
      </c>
      <c r="C30" s="57" t="inlineStr">
        <is>
          <t>Conditional / patient-specific</t>
        </is>
      </c>
      <c r="D30" s="57" t="inlineStr">
        <is>
          <t>No single rate applies across access sites and territories</t>
        </is>
      </c>
      <c r="E30" s="57" t="inlineStr">
        <is>
          <t>[3] CIRSE Standards of Practice on Arterial Access for Interventions. 2023; PMID 36705706. [4] SIR diagnostic arteriography source, as cited in original, 2013; exact title/page not verified</t>
        </is>
      </c>
      <c r="F30" s="59" t="inlineStr"/>
      <c r="G30" s="59" t="inlineStr"/>
      <c r="H30" s="59" t="inlineStr"/>
      <c r="I30" s="59" t="inlineStr"/>
      <c r="J30" s="59" t="inlineStr"/>
      <c r="K30" s="59" t="inlineStr"/>
      <c r="L30" s="59" t="inlineStr"/>
      <c r="M30" s="59" t="inlineStr"/>
      <c r="N30" s="57">
        <f>COUNT(F30:M30)</f>
        <v/>
      </c>
      <c r="O30" s="60">
        <f>IF(N30=0,"",COUNTIF(F30:M30,"&gt;=4")/N30)</f>
        <v/>
      </c>
      <c r="P30" s="60">
        <f>IF(N30=0,"",COUNTIF(F30:M30,"&lt;=2")/N30)</f>
        <v/>
      </c>
      <c r="Q30" s="57">
        <f>IF(N30=0,"",MEDIAN(F30:M30))</f>
        <v/>
      </c>
      <c r="R30" s="61">
        <f>IF(N30=0,"Not scored",IF(O30&gt;=0.8,"Include",IF(P30&gt;=0.8,"Exclude","Round 2")))</f>
        <v/>
      </c>
      <c r="S30" s="57" t="inlineStr"/>
      <c r="T30" s="57" t="inlineStr"/>
    </row>
    <row r="31">
      <c r="A31" s="57" t="inlineStr">
        <is>
          <t>Diagnostic angiography</t>
        </is>
      </c>
      <c r="B31" s="57" t="inlineStr">
        <is>
          <t>radiation exposure</t>
        </is>
      </c>
      <c r="C31" s="57" t="inlineStr">
        <is>
          <t>Conditional / patient-specific</t>
        </is>
      </c>
      <c r="D31" s="57" t="inlineStr">
        <is>
          <t>No single rate applies across access sites and territories</t>
        </is>
      </c>
      <c r="E31" s="57" t="inlineStr">
        <is>
          <t>[3] CIRSE Standards of Practice on Arterial Access for Interventions. 2023; PMID 36705706. [4] SIR diagnostic arteriography source, as cited in original, 2013; exact title/page not verified</t>
        </is>
      </c>
      <c r="F31" s="59" t="inlineStr"/>
      <c r="G31" s="59" t="inlineStr"/>
      <c r="H31" s="59" t="inlineStr"/>
      <c r="I31" s="59" t="inlineStr"/>
      <c r="J31" s="59" t="inlineStr"/>
      <c r="K31" s="59" t="inlineStr"/>
      <c r="L31" s="59" t="inlineStr"/>
      <c r="M31" s="59" t="inlineStr"/>
      <c r="N31" s="57">
        <f>COUNT(F31:M31)</f>
        <v/>
      </c>
      <c r="O31" s="60">
        <f>IF(N31=0,"",COUNTIF(F31:M31,"&gt;=4")/N31)</f>
        <v/>
      </c>
      <c r="P31" s="60">
        <f>IF(N31=0,"",COUNTIF(F31:M31,"&lt;=2")/N31)</f>
        <v/>
      </c>
      <c r="Q31" s="57">
        <f>IF(N31=0,"",MEDIAN(F31:M31))</f>
        <v/>
      </c>
      <c r="R31" s="61">
        <f>IF(N31=0,"Not scored",IF(O31&gt;=0.8,"Include",IF(P31&gt;=0.8,"Exclude","Round 2")))</f>
        <v/>
      </c>
      <c r="S31" s="57" t="inlineStr"/>
      <c r="T31" s="57" t="inlineStr"/>
    </row>
    <row r="32">
      <c r="A32" s="57" t="inlineStr">
        <is>
          <t>Diagnostic angiography</t>
        </is>
      </c>
      <c r="B32" s="57" t="inlineStr">
        <is>
          <t>sedation if used</t>
        </is>
      </c>
      <c r="C32" s="57" t="inlineStr">
        <is>
          <t>Conditional / patient-specific</t>
        </is>
      </c>
      <c r="D32" s="57" t="inlineStr">
        <is>
          <t>No single rate applies across access sites and territories</t>
        </is>
      </c>
      <c r="E32" s="57" t="inlineStr">
        <is>
          <t>[3] CIRSE Standards of Practice on Arterial Access for Interventions. 2023; PMID 36705706. [4] SIR diagnostic arteriography source, as cited in original, 2013; exact title/page not verified</t>
        </is>
      </c>
      <c r="F32" s="59" t="inlineStr"/>
      <c r="G32" s="59" t="inlineStr"/>
      <c r="H32" s="59" t="inlineStr"/>
      <c r="I32" s="59" t="inlineStr"/>
      <c r="J32" s="59" t="inlineStr"/>
      <c r="K32" s="59" t="inlineStr"/>
      <c r="L32" s="59" t="inlineStr"/>
      <c r="M32" s="59" t="inlineStr"/>
      <c r="N32" s="57">
        <f>COUNT(F32:M32)</f>
        <v/>
      </c>
      <c r="O32" s="60">
        <f>IF(N32=0,"",COUNTIF(F32:M32,"&gt;=4")/N32)</f>
        <v/>
      </c>
      <c r="P32" s="60">
        <f>IF(N32=0,"",COUNTIF(F32:M32,"&lt;=2")/N32)</f>
        <v/>
      </c>
      <c r="Q32" s="57">
        <f>IF(N32=0,"",MEDIAN(F32:M32))</f>
        <v/>
      </c>
      <c r="R32" s="61">
        <f>IF(N32=0,"Not scored",IF(O32&gt;=0.8,"Include",IF(P32&gt;=0.8,"Exclude","Round 2")))</f>
        <v/>
      </c>
      <c r="S32" s="57" t="inlineStr"/>
      <c r="T32" s="57" t="inlineStr"/>
    </row>
    <row r="33">
      <c r="A33" s="57" t="inlineStr">
        <is>
          <t>Diagnostic angiography</t>
        </is>
      </c>
      <c r="B33" s="57" t="inlineStr">
        <is>
          <t>Vascular bed, sheath/access site, selective catheterisation, renal function and prior contrast reaction</t>
        </is>
      </c>
      <c r="C33" s="57" t="inlineStr">
        <is>
          <t>Conditional / patient-specific</t>
        </is>
      </c>
      <c r="D33" s="57" t="inlineStr">
        <is>
          <t>No single rate applies across access sites and territories</t>
        </is>
      </c>
      <c r="E33" s="57" t="inlineStr">
        <is>
          <t>[3] CIRSE Standards of Practice on Arterial Access for Interventions. 2023; PMID 36705706. [4] SIR diagnostic arteriography source, as cited in original, 2013; exact title/page not verified</t>
        </is>
      </c>
      <c r="F33" s="59" t="inlineStr"/>
      <c r="G33" s="59" t="inlineStr"/>
      <c r="H33" s="59" t="inlineStr"/>
      <c r="I33" s="59" t="inlineStr"/>
      <c r="J33" s="59" t="inlineStr"/>
      <c r="K33" s="59" t="inlineStr"/>
      <c r="L33" s="59" t="inlineStr"/>
      <c r="M33" s="59" t="inlineStr"/>
      <c r="N33" s="57">
        <f>COUNT(F33:M33)</f>
        <v/>
      </c>
      <c r="O33" s="60">
        <f>IF(N33=0,"",COUNTIF(F33:M33,"&gt;=4")/N33)</f>
        <v/>
      </c>
      <c r="P33" s="60">
        <f>IF(N33=0,"",COUNTIF(F33:M33,"&lt;=2")/N33)</f>
        <v/>
      </c>
      <c r="Q33" s="57">
        <f>IF(N33=0,"",MEDIAN(F33:M33))</f>
        <v/>
      </c>
      <c r="R33" s="61">
        <f>IF(N33=0,"Not scored",IF(O33&gt;=0.8,"Include",IF(P33&gt;=0.8,"Exclude","Round 2")))</f>
        <v/>
      </c>
      <c r="S33" s="57" t="inlineStr"/>
      <c r="T33" s="57" t="inlineStr"/>
    </row>
    <row r="34">
      <c r="A34" s="57" t="inlineStr">
        <is>
          <t>Endovascular aneurysm repair (EVAR)</t>
        </is>
      </c>
      <c r="B34" s="57" t="inlineStr">
        <is>
          <t>Access-site bruising/bleeding</t>
        </is>
      </c>
      <c r="C34" s="57" t="inlineStr">
        <is>
          <t>Core candidate</t>
        </is>
      </c>
      <c r="D34" s="57" t="inlineStr">
        <is>
          <t>No single rate transferable between standard and complex EVAR; [6] covers endoleak management only</t>
        </is>
      </c>
      <c r="E34" s="57" t="inlineStr">
        <is>
          <t>[5] SIR/CIRSE/CIRA. Clinical Practice Guidelines for Endovascular Abdominal Aortic Aneurysm Repair. 2010; primary PDF [6] CIRSE Standards of Practice on Management of Endoleaks Following EVAR. 2024; DOI 10.1007/s00270-023-03629-1; PMID 38216742</t>
        </is>
      </c>
      <c r="F34" s="59" t="inlineStr"/>
      <c r="G34" s="59" t="inlineStr"/>
      <c r="H34" s="59" t="inlineStr"/>
      <c r="I34" s="59" t="inlineStr"/>
      <c r="J34" s="59" t="inlineStr"/>
      <c r="K34" s="59" t="inlineStr"/>
      <c r="L34" s="59" t="inlineStr"/>
      <c r="M34" s="59" t="inlineStr"/>
      <c r="N34" s="57">
        <f>COUNT(F34:M34)</f>
        <v/>
      </c>
      <c r="O34" s="60">
        <f>IF(N34=0,"",COUNTIF(F34:M34,"&gt;=4")/N34)</f>
        <v/>
      </c>
      <c r="P34" s="60">
        <f>IF(N34=0,"",COUNTIF(F34:M34,"&lt;=2")/N34)</f>
        <v/>
      </c>
      <c r="Q34" s="57">
        <f>IF(N34=0,"",MEDIAN(F34:M34))</f>
        <v/>
      </c>
      <c r="R34" s="61">
        <f>IF(N34=0,"Not scored",IF(O34&gt;=0.8,"Include",IF(P34&gt;=0.8,"Exclude","Round 2")))</f>
        <v/>
      </c>
      <c r="S34" s="57" t="inlineStr"/>
      <c r="T34" s="57" t="inlineStr"/>
    </row>
    <row r="35">
      <c r="A35" s="57" t="inlineStr">
        <is>
          <t>Endovascular aneurysm repair (EVAR)</t>
        </is>
      </c>
      <c r="B35" s="57" t="inlineStr">
        <is>
          <t>possible technical failure or further treatment</t>
        </is>
      </c>
      <c r="C35" s="57" t="inlineStr">
        <is>
          <t>Core candidate</t>
        </is>
      </c>
      <c r="D35" s="57" t="inlineStr">
        <is>
          <t>No single rate transferable between standard and complex EVAR; [6] covers endoleak management only</t>
        </is>
      </c>
      <c r="E35" s="57" t="inlineStr">
        <is>
          <t>[5] SIR/CIRSE/CIRA. Clinical Practice Guidelines for Endovascular Abdominal Aortic Aneurysm Repair. 2010; primary PDF [6] CIRSE Standards of Practice on Management of Endoleaks Following EVAR. 2024; DOI 10.1007/s00270-023-03629-1; PMID 38216742</t>
        </is>
      </c>
      <c r="F35" s="59" t="inlineStr"/>
      <c r="G35" s="59" t="inlineStr"/>
      <c r="H35" s="59" t="inlineStr"/>
      <c r="I35" s="59" t="inlineStr"/>
      <c r="J35" s="59" t="inlineStr"/>
      <c r="K35" s="59" t="inlineStr"/>
      <c r="L35" s="59" t="inlineStr"/>
      <c r="M35" s="59" t="inlineStr"/>
      <c r="N35" s="57">
        <f>COUNT(F35:M35)</f>
        <v/>
      </c>
      <c r="O35" s="60">
        <f>IF(N35=0,"",COUNTIF(F35:M35,"&gt;=4")/N35)</f>
        <v/>
      </c>
      <c r="P35" s="60">
        <f>IF(N35=0,"",COUNTIF(F35:M35,"&lt;=2")/N35)</f>
        <v/>
      </c>
      <c r="Q35" s="57">
        <f>IF(N35=0,"",MEDIAN(F35:M35))</f>
        <v/>
      </c>
      <c r="R35" s="61">
        <f>IF(N35=0,"Not scored",IF(O35&gt;=0.8,"Include",IF(P35&gt;=0.8,"Exclude","Round 2")))</f>
        <v/>
      </c>
      <c r="S35" s="57" t="inlineStr"/>
      <c r="T35" s="57" t="inlineStr"/>
    </row>
    <row r="36">
      <c r="A36" s="57" t="inlineStr">
        <is>
          <t>Endovascular aneurysm repair (EVAR)</t>
        </is>
      </c>
      <c r="B36" s="57" t="inlineStr">
        <is>
          <t>Endoleak, endograft limb thrombosis/occlusion, migration/kinking, renal or limb ischaemia</t>
        </is>
      </c>
      <c r="C36" s="57" t="inlineStr">
        <is>
          <t>Core candidate</t>
        </is>
      </c>
      <c r="D36" s="57" t="inlineStr">
        <is>
          <t>No single rate transferable between standard and complex EVAR; [6] covers endoleak management only</t>
        </is>
      </c>
      <c r="E36" s="57" t="inlineStr">
        <is>
          <t>[5] SIR/CIRSE/CIRA. Clinical Practice Guidelines for Endovascular Abdominal Aortic Aneurysm Repair. 2010; primary PDF [6] CIRSE Standards of Practice on Management of Endoleaks Following EVAR. 2024; DOI 10.1007/s00270-023-03629-1; PMID 38216742</t>
        </is>
      </c>
      <c r="F36" s="59" t="inlineStr"/>
      <c r="G36" s="59" t="inlineStr"/>
      <c r="H36" s="59" t="inlineStr"/>
      <c r="I36" s="59" t="inlineStr"/>
      <c r="J36" s="59" t="inlineStr"/>
      <c r="K36" s="59" t="inlineStr"/>
      <c r="L36" s="59" t="inlineStr"/>
      <c r="M36" s="59" t="inlineStr"/>
      <c r="N36" s="57">
        <f>COUNT(F36:M36)</f>
        <v/>
      </c>
      <c r="O36" s="60">
        <f>IF(N36=0,"",COUNTIF(F36:M36,"&gt;=4")/N36)</f>
        <v/>
      </c>
      <c r="P36" s="60">
        <f>IF(N36=0,"",COUNTIF(F36:M36,"&lt;=2")/N36)</f>
        <v/>
      </c>
      <c r="Q36" s="57">
        <f>IF(N36=0,"",MEDIAN(F36:M36))</f>
        <v/>
      </c>
      <c r="R36" s="61">
        <f>IF(N36=0,"Not scored",IF(O36&gt;=0.8,"Include",IF(P36&gt;=0.8,"Exclude","Round 2")))</f>
        <v/>
      </c>
      <c r="S36" s="57" t="inlineStr"/>
      <c r="T36" s="57" t="inlineStr"/>
    </row>
    <row r="37">
      <c r="A37" s="57" t="inlineStr">
        <is>
          <t>Endovascular aneurysm repair (EVAR)</t>
        </is>
      </c>
      <c r="B37" s="57" t="inlineStr">
        <is>
          <t>Aneurysm enlargement/rupture</t>
        </is>
      </c>
      <c r="C37" s="57" t="inlineStr">
        <is>
          <t>Core candidate</t>
        </is>
      </c>
      <c r="D37" s="57" t="inlineStr">
        <is>
          <t>No single rate transferable between standard and complex EVAR; [6] covers endoleak management only</t>
        </is>
      </c>
      <c r="E37" s="57" t="inlineStr">
        <is>
          <t>[5] SIR/CIRSE/CIRA. Clinical Practice Guidelines for Endovascular Abdominal Aortic Aneurysm Repair. 2010; primary PDF [6] CIRSE Standards of Practice on Management of Endoleaks Following EVAR. 2024; DOI 10.1007/s00270-023-03629-1; PMID 38216742</t>
        </is>
      </c>
      <c r="F37" s="59" t="inlineStr"/>
      <c r="G37" s="59" t="inlineStr"/>
      <c r="H37" s="59" t="inlineStr"/>
      <c r="I37" s="59" t="inlineStr"/>
      <c r="J37" s="59" t="inlineStr"/>
      <c r="K37" s="59" t="inlineStr"/>
      <c r="L37" s="59" t="inlineStr"/>
      <c r="M37" s="59" t="inlineStr"/>
      <c r="N37" s="57">
        <f>COUNT(F37:M37)</f>
        <v/>
      </c>
      <c r="O37" s="60">
        <f>IF(N37=0,"",COUNTIF(F37:M37,"&gt;=4")/N37)</f>
        <v/>
      </c>
      <c r="P37" s="60">
        <f>IF(N37=0,"",COUNTIF(F37:M37,"&lt;=2")/N37)</f>
        <v/>
      </c>
      <c r="Q37" s="57">
        <f>IF(N37=0,"",MEDIAN(F37:M37))</f>
        <v/>
      </c>
      <c r="R37" s="61">
        <f>IF(N37=0,"Not scored",IF(O37&gt;=0.8,"Include",IF(P37&gt;=0.8,"Exclude","Round 2")))</f>
        <v/>
      </c>
      <c r="S37" s="57" t="inlineStr"/>
      <c r="T37" s="57" t="inlineStr"/>
    </row>
    <row r="38">
      <c r="A38" s="57" t="inlineStr">
        <is>
          <t>Endovascular aneurysm repair (EVAR)</t>
        </is>
      </c>
      <c r="B38" s="57" t="inlineStr">
        <is>
          <t>graft infection/failure</t>
        </is>
      </c>
      <c r="C38" s="57" t="inlineStr">
        <is>
          <t>Core candidate</t>
        </is>
      </c>
      <c r="D38" s="57" t="inlineStr">
        <is>
          <t>No single rate transferable between standard and complex EVAR; [6] covers endoleak management only</t>
        </is>
      </c>
      <c r="E38" s="57" t="inlineStr">
        <is>
          <t>[5] SIR/CIRSE/CIRA. Clinical Practice Guidelines for Endovascular Abdominal Aortic Aneurysm Repair. 2010; primary PDF [6] CIRSE Standards of Practice on Management of Endoleaks Following EVAR. 2024; DOI 10.1007/s00270-023-03629-1; PMID 38216742</t>
        </is>
      </c>
      <c r="F38" s="59" t="inlineStr"/>
      <c r="G38" s="59" t="inlineStr"/>
      <c r="H38" s="59" t="inlineStr"/>
      <c r="I38" s="59" t="inlineStr"/>
      <c r="J38" s="59" t="inlineStr"/>
      <c r="K38" s="59" t="inlineStr"/>
      <c r="L38" s="59" t="inlineStr"/>
      <c r="M38" s="59" t="inlineStr"/>
      <c r="N38" s="57">
        <f>COUNT(F38:M38)</f>
        <v/>
      </c>
      <c r="O38" s="60">
        <f>IF(N38=0,"",COUNTIF(F38:M38,"&gt;=4")/N38)</f>
        <v/>
      </c>
      <c r="P38" s="60">
        <f>IF(N38=0,"",COUNTIF(F38:M38,"&lt;=2")/N38)</f>
        <v/>
      </c>
      <c r="Q38" s="57">
        <f>IF(N38=0,"",MEDIAN(F38:M38))</f>
        <v/>
      </c>
      <c r="R38" s="61">
        <f>IF(N38=0,"Not scored",IF(O38&gt;=0.8,"Include",IF(P38&gt;=0.8,"Exclude","Round 2")))</f>
        <v/>
      </c>
      <c r="S38" s="57" t="inlineStr"/>
      <c r="T38" s="57" t="inlineStr"/>
    </row>
    <row r="39">
      <c r="A39" s="57" t="inlineStr">
        <is>
          <t>Endovascular aneurysm repair (EVAR)</t>
        </is>
      </c>
      <c r="B39" s="57" t="inlineStr">
        <is>
          <t>bowel/pelvic/spinal ischaemia</t>
        </is>
      </c>
      <c r="C39" s="57" t="inlineStr">
        <is>
          <t>Core candidate</t>
        </is>
      </c>
      <c r="D39" s="57" t="inlineStr">
        <is>
          <t>No single rate transferable between standard and complex EVAR; [6] covers endoleak management only</t>
        </is>
      </c>
      <c r="E39" s="57" t="inlineStr">
        <is>
          <t>[5] SIR/CIRSE/CIRA. Clinical Practice Guidelines for Endovascular Abdominal Aortic Aneurysm Repair. 2010; primary PDF [6] CIRSE Standards of Practice on Management of Endoleaks Following EVAR. 2024; DOI 10.1007/s00270-023-03629-1; PMID 38216742</t>
        </is>
      </c>
      <c r="F39" s="59" t="inlineStr"/>
      <c r="G39" s="59" t="inlineStr"/>
      <c r="H39" s="59" t="inlineStr"/>
      <c r="I39" s="59" t="inlineStr"/>
      <c r="J39" s="59" t="inlineStr"/>
      <c r="K39" s="59" t="inlineStr"/>
      <c r="L39" s="59" t="inlineStr"/>
      <c r="M39" s="59" t="inlineStr"/>
      <c r="N39" s="57">
        <f>COUNT(F39:M39)</f>
        <v/>
      </c>
      <c r="O39" s="60">
        <f>IF(N39=0,"",COUNTIF(F39:M39,"&gt;=4")/N39)</f>
        <v/>
      </c>
      <c r="P39" s="60">
        <f>IF(N39=0,"",COUNTIF(F39:M39,"&lt;=2")/N39)</f>
        <v/>
      </c>
      <c r="Q39" s="57">
        <f>IF(N39=0,"",MEDIAN(F39:M39))</f>
        <v/>
      </c>
      <c r="R39" s="61">
        <f>IF(N39=0,"Not scored",IF(O39&gt;=0.8,"Include",IF(P39&gt;=0.8,"Exclude","Round 2")))</f>
        <v/>
      </c>
      <c r="S39" s="57" t="inlineStr"/>
      <c r="T39" s="57" t="inlineStr"/>
    </row>
    <row r="40">
      <c r="A40" s="57" t="inlineStr">
        <is>
          <t>Endovascular aneurysm repair (EVAR)</t>
        </is>
      </c>
      <c r="B40" s="57" t="inlineStr">
        <is>
          <t>conversion, reintervention or death</t>
        </is>
      </c>
      <c r="C40" s="57" t="inlineStr">
        <is>
          <t>Core candidate</t>
        </is>
      </c>
      <c r="D40" s="57" t="inlineStr">
        <is>
          <t>No single rate transferable between standard and complex EVAR; [6] covers endoleak management only</t>
        </is>
      </c>
      <c r="E40" s="57" t="inlineStr">
        <is>
          <t>[5] SIR/CIRSE/CIRA. Clinical Practice Guidelines for Endovascular Abdominal Aortic Aneurysm Repair. 2010; primary PDF [6] CIRSE Standards of Practice on Management of Endoleaks Following EVAR. 2024; DOI 10.1007/s00270-023-03629-1; PMID 38216742</t>
        </is>
      </c>
      <c r="F40" s="59" t="inlineStr"/>
      <c r="G40" s="59" t="inlineStr"/>
      <c r="H40" s="59" t="inlineStr"/>
      <c r="I40" s="59" t="inlineStr"/>
      <c r="J40" s="59" t="inlineStr"/>
      <c r="K40" s="59" t="inlineStr"/>
      <c r="L40" s="59" t="inlineStr"/>
      <c r="M40" s="59" t="inlineStr"/>
      <c r="N40" s="57">
        <f>COUNT(F40:M40)</f>
        <v/>
      </c>
      <c r="O40" s="60">
        <f>IF(N40=0,"",COUNTIF(F40:M40,"&gt;=4")/N40)</f>
        <v/>
      </c>
      <c r="P40" s="60">
        <f>IF(N40=0,"",COUNTIF(F40:M40,"&lt;=2")/N40)</f>
        <v/>
      </c>
      <c r="Q40" s="57">
        <f>IF(N40=0,"",MEDIAN(F40:M40))</f>
        <v/>
      </c>
      <c r="R40" s="61">
        <f>IF(N40=0,"Not scored",IF(O40&gt;=0.8,"Include",IF(P40&gt;=0.8,"Exclude","Round 2")))</f>
        <v/>
      </c>
      <c r="S40" s="57" t="inlineStr"/>
      <c r="T40" s="57" t="inlineStr"/>
    </row>
    <row r="41">
      <c r="A41" s="57" t="inlineStr">
        <is>
          <t>Endovascular aneurysm repair (EVAR)</t>
        </is>
      </c>
      <c r="B41" s="57" t="inlineStr">
        <is>
          <t>Iliac/femoral injury, dissection, rupture, bleeding or limb ischaemia</t>
        </is>
      </c>
      <c r="C41" s="57" t="inlineStr">
        <is>
          <t>Core candidate</t>
        </is>
      </c>
      <c r="D41" s="57" t="inlineStr">
        <is>
          <t>No single rate transferable between standard and complex EVAR; [6] covers endoleak management only</t>
        </is>
      </c>
      <c r="E41" s="57" t="inlineStr">
        <is>
          <t>[5] SIR/CIRSE/CIRA. Clinical Practice Guidelines for Endovascular Abdominal Aortic Aneurysm Repair. 2010; primary PDF [6] CIRSE Standards of Practice on Management of Endoleaks Following EVAR. 2024; DOI 10.1007/s00270-023-03629-1; PMID 38216742</t>
        </is>
      </c>
      <c r="F41" s="59" t="inlineStr"/>
      <c r="G41" s="59" t="inlineStr"/>
      <c r="H41" s="59" t="inlineStr"/>
      <c r="I41" s="59" t="inlineStr"/>
      <c r="J41" s="59" t="inlineStr"/>
      <c r="K41" s="59" t="inlineStr"/>
      <c r="L41" s="59" t="inlineStr"/>
      <c r="M41" s="59" t="inlineStr"/>
      <c r="N41" s="57">
        <f>COUNT(F41:M41)</f>
        <v/>
      </c>
      <c r="O41" s="60">
        <f>IF(N41=0,"",COUNTIF(F41:M41,"&gt;=4")/N41)</f>
        <v/>
      </c>
      <c r="P41" s="60">
        <f>IF(N41=0,"",COUNTIF(F41:M41,"&lt;=2")/N41)</f>
        <v/>
      </c>
      <c r="Q41" s="57">
        <f>IF(N41=0,"",MEDIAN(F41:M41))</f>
        <v/>
      </c>
      <c r="R41" s="61">
        <f>IF(N41=0,"Not scored",IF(O41&gt;=0.8,"Include",IF(P41&gt;=0.8,"Exclude","Round 2")))</f>
        <v/>
      </c>
      <c r="S41" s="57" t="inlineStr"/>
      <c r="T41" s="57" t="inlineStr"/>
    </row>
    <row r="42">
      <c r="A42" s="57" t="inlineStr">
        <is>
          <t>Endovascular aneurysm repair (EVAR)</t>
        </is>
      </c>
      <c r="B42" s="57" t="inlineStr">
        <is>
          <t>Contrast reaction/AKI and radiation exposure</t>
        </is>
      </c>
      <c r="C42" s="57" t="inlineStr">
        <is>
          <t>Conditional / patient-specific</t>
        </is>
      </c>
      <c r="D42" s="57" t="inlineStr">
        <is>
          <t>No single rate transferable between standard and complex EVAR; [6] covers endoleak management only</t>
        </is>
      </c>
      <c r="E42" s="57" t="inlineStr">
        <is>
          <t>[5] SIR/CIRSE/CIRA. Clinical Practice Guidelines for Endovascular Abdominal Aortic Aneurysm Repair. 2010; primary PDF [6] CIRSE Standards of Practice on Management of Endoleaks Following EVAR. 2024; DOI 10.1007/s00270-023-03629-1; PMID 38216742</t>
        </is>
      </c>
      <c r="F42" s="59" t="inlineStr"/>
      <c r="G42" s="59" t="inlineStr"/>
      <c r="H42" s="59" t="inlineStr"/>
      <c r="I42" s="59" t="inlineStr"/>
      <c r="J42" s="59" t="inlineStr"/>
      <c r="K42" s="59" t="inlineStr"/>
      <c r="L42" s="59" t="inlineStr"/>
      <c r="M42" s="59" t="inlineStr"/>
      <c r="N42" s="57">
        <f>COUNT(F42:M42)</f>
        <v/>
      </c>
      <c r="O42" s="60">
        <f>IF(N42=0,"",COUNTIF(F42:M42,"&gt;=4")/N42)</f>
        <v/>
      </c>
      <c r="P42" s="60">
        <f>IF(N42=0,"",COUNTIF(F42:M42,"&lt;=2")/N42)</f>
        <v/>
      </c>
      <c r="Q42" s="57">
        <f>IF(N42=0,"",MEDIAN(F42:M42))</f>
        <v/>
      </c>
      <c r="R42" s="61">
        <f>IF(N42=0,"Not scored",IF(O42&gt;=0.8,"Include",IF(P42&gt;=0.8,"Exclude","Round 2")))</f>
        <v/>
      </c>
      <c r="S42" s="57" t="inlineStr"/>
      <c r="T42" s="57" t="inlineStr"/>
    </row>
    <row r="43">
      <c r="A43" s="57" t="inlineStr">
        <is>
          <t>Endovascular aneurysm repair (EVAR)</t>
        </is>
      </c>
      <c r="B43" s="57" t="inlineStr">
        <is>
          <t>Aneurysm anatomy, device/landing zones, complex repair, access vessels, coverage and patient risk</t>
        </is>
      </c>
      <c r="C43" s="57" t="inlineStr">
        <is>
          <t>Conditional / patient-specific</t>
        </is>
      </c>
      <c r="D43" s="57" t="inlineStr">
        <is>
          <t>No single rate transferable between standard and complex EVAR; [6] covers endoleak management only</t>
        </is>
      </c>
      <c r="E43" s="57" t="inlineStr">
        <is>
          <t>[5] SIR/CIRSE/CIRA. Clinical Practice Guidelines for Endovascular Abdominal Aortic Aneurysm Repair. 2010; primary PDF [6] CIRSE Standards of Practice on Management of Endoleaks Following EVAR. 2024; DOI 10.1007/s00270-023-03629-1; PMID 38216742</t>
        </is>
      </c>
      <c r="F43" s="59" t="inlineStr"/>
      <c r="G43" s="59" t="inlineStr"/>
      <c r="H43" s="59" t="inlineStr"/>
      <c r="I43" s="59" t="inlineStr"/>
      <c r="J43" s="59" t="inlineStr"/>
      <c r="K43" s="59" t="inlineStr"/>
      <c r="L43" s="59" t="inlineStr"/>
      <c r="M43" s="59" t="inlineStr"/>
      <c r="N43" s="57">
        <f>COUNT(F43:M43)</f>
        <v/>
      </c>
      <c r="O43" s="60">
        <f>IF(N43=0,"",COUNTIF(F43:M43,"&gt;=4")/N43)</f>
        <v/>
      </c>
      <c r="P43" s="60">
        <f>IF(N43=0,"",COUNTIF(F43:M43,"&lt;=2")/N43)</f>
        <v/>
      </c>
      <c r="Q43" s="57">
        <f>IF(N43=0,"",MEDIAN(F43:M43))</f>
        <v/>
      </c>
      <c r="R43" s="61">
        <f>IF(N43=0,"Not scored",IF(O43&gt;=0.8,"Include",IF(P43&gt;=0.8,"Exclude","Round 2")))</f>
        <v/>
      </c>
      <c r="S43" s="57" t="inlineStr"/>
      <c r="T43" s="57" t="inlineStr"/>
    </row>
    <row r="44">
      <c r="A44" s="57" t="inlineStr">
        <is>
          <t>Gastrointestinal bleeding embolisation</t>
        </is>
      </c>
      <c r="B44" s="57" t="inlineStr">
        <is>
          <t>Persistent/recurrent bleeding</t>
        </is>
      </c>
      <c r="C44" s="57" t="inlineStr">
        <is>
          <t>Core candidate</t>
        </is>
      </c>
      <c r="D44" s="57" t="inlineStr">
        <is>
          <t>No universal rate; depends on territory, collateralisation and case mix</t>
        </is>
      </c>
      <c r="E44" s="57" t="inlineStr">
        <is>
          <t>[7] Society of Interventional Radiology Quality Improvement Standards for Percutaneous Transcatheter Embolization. 2021; PMID 33640083. [8] Sacks et al. Quality improvement guidelines for transcatheter embolization for acute gastrointestinal nonvariceal hemorrhage. 2012; PMID 23150119</t>
        </is>
      </c>
      <c r="F44" s="59" t="inlineStr"/>
      <c r="G44" s="59" t="inlineStr"/>
      <c r="H44" s="59" t="inlineStr"/>
      <c r="I44" s="59" t="inlineStr"/>
      <c r="J44" s="59" t="inlineStr"/>
      <c r="K44" s="59" t="inlineStr"/>
      <c r="L44" s="59" t="inlineStr"/>
      <c r="M44" s="59" t="inlineStr"/>
      <c r="N44" s="57">
        <f>COUNT(F44:M44)</f>
        <v/>
      </c>
      <c r="O44" s="60">
        <f>IF(N44=0,"",COUNTIF(F44:M44,"&gt;=4")/N44)</f>
        <v/>
      </c>
      <c r="P44" s="60">
        <f>IF(N44=0,"",COUNTIF(F44:M44,"&lt;=2")/N44)</f>
        <v/>
      </c>
      <c r="Q44" s="57">
        <f>IF(N44=0,"",MEDIAN(F44:M44))</f>
        <v/>
      </c>
      <c r="R44" s="61">
        <f>IF(N44=0,"Not scored",IF(O44&gt;=0.8,"Include",IF(P44&gt;=0.8,"Exclude","Round 2")))</f>
        <v/>
      </c>
      <c r="S44" s="57" t="inlineStr"/>
      <c r="T44" s="57" t="inlineStr"/>
    </row>
    <row r="45">
      <c r="A45" s="57" t="inlineStr">
        <is>
          <t>Gastrointestinal bleeding embolisation</t>
        </is>
      </c>
      <c r="B45" s="57" t="inlineStr">
        <is>
          <t>access bruising/bleeding</t>
        </is>
      </c>
      <c r="C45" s="57" t="inlineStr">
        <is>
          <t>Core candidate</t>
        </is>
      </c>
      <c r="D45" s="57" t="inlineStr">
        <is>
          <t>No universal rate; depends on territory, collateralisation and case mix</t>
        </is>
      </c>
      <c r="E45" s="57" t="inlineStr">
        <is>
          <t>[7] Society of Interventional Radiology Quality Improvement Standards for Percutaneous Transcatheter Embolization. 2021; PMID 33640083. [8] Sacks et al. Quality improvement guidelines for transcatheter embolization for acute gastrointestinal nonvariceal hemorrhage. 2012; PMID 23150119</t>
        </is>
      </c>
      <c r="F45" s="59" t="inlineStr"/>
      <c r="G45" s="59" t="inlineStr"/>
      <c r="H45" s="59" t="inlineStr"/>
      <c r="I45" s="59" t="inlineStr"/>
      <c r="J45" s="59" t="inlineStr"/>
      <c r="K45" s="59" t="inlineStr"/>
      <c r="L45" s="59" t="inlineStr"/>
      <c r="M45" s="59" t="inlineStr"/>
      <c r="N45" s="57">
        <f>COUNT(F45:M45)</f>
        <v/>
      </c>
      <c r="O45" s="60">
        <f>IF(N45=0,"",COUNTIF(F45:M45,"&gt;=4")/N45)</f>
        <v/>
      </c>
      <c r="P45" s="60">
        <f>IF(N45=0,"",COUNTIF(F45:M45,"&lt;=2")/N45)</f>
        <v/>
      </c>
      <c r="Q45" s="57">
        <f>IF(N45=0,"",MEDIAN(F45:M45))</f>
        <v/>
      </c>
      <c r="R45" s="61">
        <f>IF(N45=0,"Not scored",IF(O45&gt;=0.8,"Include",IF(P45&gt;=0.8,"Exclude","Round 2")))</f>
        <v/>
      </c>
      <c r="S45" s="57" t="inlineStr"/>
      <c r="T45" s="57" t="inlineStr"/>
    </row>
    <row r="46">
      <c r="A46" s="57" t="inlineStr">
        <is>
          <t>Gastrointestinal bleeding embolisation</t>
        </is>
      </c>
      <c r="B46" s="57" t="inlineStr">
        <is>
          <t>Repeat embolisation, endoscopy or surgery</t>
        </is>
      </c>
      <c r="C46" s="57" t="inlineStr">
        <is>
          <t>Core candidate</t>
        </is>
      </c>
      <c r="D46" s="57" t="inlineStr">
        <is>
          <t>No universal rate; depends on territory, collateralisation and case mix</t>
        </is>
      </c>
      <c r="E46" s="57" t="inlineStr">
        <is>
          <t>[7] Society of Interventional Radiology Quality Improvement Standards for Percutaneous Transcatheter Embolization. 2021; PMID 33640083. [8] Sacks et al. Quality improvement guidelines for transcatheter embolization for acute gastrointestinal nonvariceal hemorrhage. 2012; PMID 23150119</t>
        </is>
      </c>
      <c r="F46" s="59" t="inlineStr"/>
      <c r="G46" s="59" t="inlineStr"/>
      <c r="H46" s="59" t="inlineStr"/>
      <c r="I46" s="59" t="inlineStr"/>
      <c r="J46" s="59" t="inlineStr"/>
      <c r="K46" s="59" t="inlineStr"/>
      <c r="L46" s="59" t="inlineStr"/>
      <c r="M46" s="59" t="inlineStr"/>
      <c r="N46" s="57">
        <f>COUNT(F46:M46)</f>
        <v/>
      </c>
      <c r="O46" s="60">
        <f>IF(N46=0,"",COUNTIF(F46:M46,"&gt;=4")/N46)</f>
        <v/>
      </c>
      <c r="P46" s="60">
        <f>IF(N46=0,"",COUNTIF(F46:M46,"&lt;=2")/N46)</f>
        <v/>
      </c>
      <c r="Q46" s="57">
        <f>IF(N46=0,"",MEDIAN(F46:M46))</f>
        <v/>
      </c>
      <c r="R46" s="61">
        <f>IF(N46=0,"Not scored",IF(O46&gt;=0.8,"Include",IF(P46&gt;=0.8,"Exclude","Round 2")))</f>
        <v/>
      </c>
      <c r="S46" s="57" t="inlineStr"/>
      <c r="T46" s="57" t="inlineStr"/>
    </row>
    <row r="47">
      <c r="A47" s="57" t="inlineStr">
        <is>
          <t>Gastrointestinal bleeding embolisation</t>
        </is>
      </c>
      <c r="B47" s="57" t="inlineStr">
        <is>
          <t>bowel ischaemia</t>
        </is>
      </c>
      <c r="C47" s="57" t="inlineStr">
        <is>
          <t>Core candidate</t>
        </is>
      </c>
      <c r="D47" s="57" t="inlineStr">
        <is>
          <t>No universal rate; depends on territory, collateralisation and case mix</t>
        </is>
      </c>
      <c r="E47" s="57" t="inlineStr">
        <is>
          <t>[7] Society of Interventional Radiology Quality Improvement Standards for Percutaneous Transcatheter Embolization. 2021; PMID 33640083. [8] Sacks et al. Quality improvement guidelines for transcatheter embolization for acute gastrointestinal nonvariceal hemorrhage. 2012; PMID 23150119</t>
        </is>
      </c>
      <c r="F47" s="59" t="inlineStr"/>
      <c r="G47" s="59" t="inlineStr"/>
      <c r="H47" s="59" t="inlineStr"/>
      <c r="I47" s="59" t="inlineStr"/>
      <c r="J47" s="59" t="inlineStr"/>
      <c r="K47" s="59" t="inlineStr"/>
      <c r="L47" s="59" t="inlineStr"/>
      <c r="M47" s="59" t="inlineStr"/>
      <c r="N47" s="57">
        <f>COUNT(F47:M47)</f>
        <v/>
      </c>
      <c r="O47" s="60">
        <f>IF(N47=0,"",COUNTIF(F47:M47,"&gt;=4")/N47)</f>
        <v/>
      </c>
      <c r="P47" s="60">
        <f>IF(N47=0,"",COUNTIF(F47:M47,"&lt;=2")/N47)</f>
        <v/>
      </c>
      <c r="Q47" s="57">
        <f>IF(N47=0,"",MEDIAN(F47:M47))</f>
        <v/>
      </c>
      <c r="R47" s="61">
        <f>IF(N47=0,"Not scored",IF(O47&gt;=0.8,"Include",IF(P47&gt;=0.8,"Exclude","Round 2")))</f>
        <v/>
      </c>
      <c r="S47" s="57" t="inlineStr"/>
      <c r="T47" s="57" t="inlineStr"/>
    </row>
    <row r="48">
      <c r="A48" s="57" t="inlineStr">
        <is>
          <t>Gastrointestinal bleeding embolisation</t>
        </is>
      </c>
      <c r="B48" s="57" t="inlineStr">
        <is>
          <t>Bowel infarction/necrosis, perforation or later stricture due to non-target or extensive embolisation</t>
        </is>
      </c>
      <c r="C48" s="57" t="inlineStr">
        <is>
          <t>Core candidate</t>
        </is>
      </c>
      <c r="D48" s="57" t="inlineStr">
        <is>
          <t>No universal rate; depends on territory, collateralisation and case mix</t>
        </is>
      </c>
      <c r="E48" s="57" t="inlineStr">
        <is>
          <t>[7] Society of Interventional Radiology Quality Improvement Standards for Percutaneous Transcatheter Embolization. 2021; PMID 33640083. [8] Sacks et al. Quality improvement guidelines for transcatheter embolization for acute gastrointestinal nonvariceal hemorrhage. 2012; PMID 23150119</t>
        </is>
      </c>
      <c r="F48" s="59" t="inlineStr"/>
      <c r="G48" s="59" t="inlineStr"/>
      <c r="H48" s="59" t="inlineStr"/>
      <c r="I48" s="59" t="inlineStr"/>
      <c r="J48" s="59" t="inlineStr"/>
      <c r="K48" s="59" t="inlineStr"/>
      <c r="L48" s="59" t="inlineStr"/>
      <c r="M48" s="59" t="inlineStr"/>
      <c r="N48" s="57">
        <f>COUNT(F48:M48)</f>
        <v/>
      </c>
      <c r="O48" s="60">
        <f>IF(N48=0,"",COUNTIF(F48:M48,"&gt;=4")/N48)</f>
        <v/>
      </c>
      <c r="P48" s="60">
        <f>IF(N48=0,"",COUNTIF(F48:M48,"&lt;=2")/N48)</f>
        <v/>
      </c>
      <c r="Q48" s="57">
        <f>IF(N48=0,"",MEDIAN(F48:M48))</f>
        <v/>
      </c>
      <c r="R48" s="61">
        <f>IF(N48=0,"Not scored",IF(O48&gt;=0.8,"Include",IF(P48&gt;=0.8,"Exclude","Round 2")))</f>
        <v/>
      </c>
      <c r="S48" s="57" t="inlineStr"/>
      <c r="T48" s="57" t="inlineStr"/>
    </row>
    <row r="49">
      <c r="A49" s="57" t="inlineStr">
        <is>
          <t>Gastrointestinal bleeding embolisation</t>
        </is>
      </c>
      <c r="B49" s="57" t="inlineStr">
        <is>
          <t>Arterial access bleeding/haematoma</t>
        </is>
      </c>
      <c r="C49" s="57" t="inlineStr">
        <is>
          <t>Core candidate</t>
        </is>
      </c>
      <c r="D49" s="57" t="inlineStr">
        <is>
          <t>No universal rate; depends on territory, collateralisation and case mix</t>
        </is>
      </c>
      <c r="E49" s="57" t="inlineStr">
        <is>
          <t>[7] Society of Interventional Radiology Quality Improvement Standards for Percutaneous Transcatheter Embolization. 2021; PMID 33640083. [8] Sacks et al. Quality improvement guidelines for transcatheter embolization for acute gastrointestinal nonvariceal hemorrhage. 2012; PMID 23150119</t>
        </is>
      </c>
      <c r="F49" s="59" t="inlineStr"/>
      <c r="G49" s="59" t="inlineStr"/>
      <c r="H49" s="59" t="inlineStr"/>
      <c r="I49" s="59" t="inlineStr"/>
      <c r="J49" s="59" t="inlineStr"/>
      <c r="K49" s="59" t="inlineStr"/>
      <c r="L49" s="59" t="inlineStr"/>
      <c r="M49" s="59" t="inlineStr"/>
      <c r="N49" s="57">
        <f>COUNT(F49:M49)</f>
        <v/>
      </c>
      <c r="O49" s="60">
        <f>IF(N49=0,"",COUNTIF(F49:M49,"&gt;=4")/N49)</f>
        <v/>
      </c>
      <c r="P49" s="60">
        <f>IF(N49=0,"",COUNTIF(F49:M49,"&lt;=2")/N49)</f>
        <v/>
      </c>
      <c r="Q49" s="57">
        <f>IF(N49=0,"",MEDIAN(F49:M49))</f>
        <v/>
      </c>
      <c r="R49" s="61">
        <f>IF(N49=0,"Not scored",IF(O49&gt;=0.8,"Include",IF(P49&gt;=0.8,"Exclude","Round 2")))</f>
        <v/>
      </c>
      <c r="S49" s="57" t="inlineStr"/>
      <c r="T49" s="57" t="inlineStr"/>
    </row>
    <row r="50">
      <c r="A50" s="57" t="inlineStr">
        <is>
          <t>Gastrointestinal bleeding embolisation</t>
        </is>
      </c>
      <c r="B50" s="57" t="inlineStr">
        <is>
          <t>vessel injury</t>
        </is>
      </c>
      <c r="C50" s="57" t="inlineStr">
        <is>
          <t>Core candidate</t>
        </is>
      </c>
      <c r="D50" s="57" t="inlineStr">
        <is>
          <t>No universal rate; depends on territory, collateralisation and case mix</t>
        </is>
      </c>
      <c r="E50" s="57" t="inlineStr">
        <is>
          <t>[7] Society of Interventional Radiology Quality Improvement Standards for Percutaneous Transcatheter Embolization. 2021; PMID 33640083. [8] Sacks et al. Quality improvement guidelines for transcatheter embolization for acute gastrointestinal nonvariceal hemorrhage. 2012; PMID 23150119</t>
        </is>
      </c>
      <c r="F50" s="59" t="inlineStr"/>
      <c r="G50" s="59" t="inlineStr"/>
      <c r="H50" s="59" t="inlineStr"/>
      <c r="I50" s="59" t="inlineStr"/>
      <c r="J50" s="59" t="inlineStr"/>
      <c r="K50" s="59" t="inlineStr"/>
      <c r="L50" s="59" t="inlineStr"/>
      <c r="M50" s="59" t="inlineStr"/>
      <c r="N50" s="57">
        <f>COUNT(F50:M50)</f>
        <v/>
      </c>
      <c r="O50" s="60">
        <f>IF(N50=0,"",COUNTIF(F50:M50,"&gt;=4")/N50)</f>
        <v/>
      </c>
      <c r="P50" s="60">
        <f>IF(N50=0,"",COUNTIF(F50:M50,"&lt;=2")/N50)</f>
        <v/>
      </c>
      <c r="Q50" s="57">
        <f>IF(N50=0,"",MEDIAN(F50:M50))</f>
        <v/>
      </c>
      <c r="R50" s="61">
        <f>IF(N50=0,"Not scored",IF(O50&gt;=0.8,"Include",IF(P50&gt;=0.8,"Exclude","Round 2")))</f>
        <v/>
      </c>
      <c r="S50" s="57" t="inlineStr"/>
      <c r="T50" s="57" t="inlineStr"/>
    </row>
    <row r="51">
      <c r="A51" s="57" t="inlineStr">
        <is>
          <t>Gastrointestinal bleeding embolisation</t>
        </is>
      </c>
      <c r="B51" s="57" t="inlineStr">
        <is>
          <t>Contrast reaction/AKI</t>
        </is>
      </c>
      <c r="C51" s="57" t="inlineStr">
        <is>
          <t>Conditional / patient-specific</t>
        </is>
      </c>
      <c r="D51" s="57" t="inlineStr">
        <is>
          <t>No universal rate; depends on territory, collateralisation and case mix</t>
        </is>
      </c>
      <c r="E51" s="57" t="inlineStr">
        <is>
          <t>[7] Society of Interventional Radiology Quality Improvement Standards for Percutaneous Transcatheter Embolization. 2021; PMID 33640083. [8] Sacks et al. Quality improvement guidelines for transcatheter embolization for acute gastrointestinal nonvariceal hemorrhage. 2012; PMID 23150119</t>
        </is>
      </c>
      <c r="F51" s="59" t="inlineStr"/>
      <c r="G51" s="59" t="inlineStr"/>
      <c r="H51" s="59" t="inlineStr"/>
      <c r="I51" s="59" t="inlineStr"/>
      <c r="J51" s="59" t="inlineStr"/>
      <c r="K51" s="59" t="inlineStr"/>
      <c r="L51" s="59" t="inlineStr"/>
      <c r="M51" s="59" t="inlineStr"/>
      <c r="N51" s="57">
        <f>COUNT(F51:M51)</f>
        <v/>
      </c>
      <c r="O51" s="60">
        <f>IF(N51=0,"",COUNTIF(F51:M51,"&gt;=4")/N51)</f>
        <v/>
      </c>
      <c r="P51" s="60">
        <f>IF(N51=0,"",COUNTIF(F51:M51,"&lt;=2")/N51)</f>
        <v/>
      </c>
      <c r="Q51" s="57">
        <f>IF(N51=0,"",MEDIAN(F51:M51))</f>
        <v/>
      </c>
      <c r="R51" s="61">
        <f>IF(N51=0,"Not scored",IF(O51&gt;=0.8,"Include",IF(P51&gt;=0.8,"Exclude","Round 2")))</f>
        <v/>
      </c>
      <c r="S51" s="57" t="inlineStr"/>
      <c r="T51" s="57" t="inlineStr"/>
    </row>
    <row r="52">
      <c r="A52" s="57" t="inlineStr">
        <is>
          <t>Gastrointestinal bleeding embolisation</t>
        </is>
      </c>
      <c r="B52" s="57" t="inlineStr">
        <is>
          <t>radiation exposure</t>
        </is>
      </c>
      <c r="C52" s="57" t="inlineStr">
        <is>
          <t>Conditional / patient-specific</t>
        </is>
      </c>
      <c r="D52" s="57" t="inlineStr">
        <is>
          <t>No universal rate; depends on territory, collateralisation and case mix</t>
        </is>
      </c>
      <c r="E52" s="57" t="inlineStr">
        <is>
          <t>[7] Society of Interventional Radiology Quality Improvement Standards for Percutaneous Transcatheter Embolization. 2021; PMID 33640083. [8] Sacks et al. Quality improvement guidelines for transcatheter embolization for acute gastrointestinal nonvariceal hemorrhage. 2012; PMID 23150119</t>
        </is>
      </c>
      <c r="F52" s="59" t="inlineStr"/>
      <c r="G52" s="59" t="inlineStr"/>
      <c r="H52" s="59" t="inlineStr"/>
      <c r="I52" s="59" t="inlineStr"/>
      <c r="J52" s="59" t="inlineStr"/>
      <c r="K52" s="59" t="inlineStr"/>
      <c r="L52" s="59" t="inlineStr"/>
      <c r="M52" s="59" t="inlineStr"/>
      <c r="N52" s="57">
        <f>COUNT(F52:M52)</f>
        <v/>
      </c>
      <c r="O52" s="60">
        <f>IF(N52=0,"",COUNTIF(F52:M52,"&gt;=4")/N52)</f>
        <v/>
      </c>
      <c r="P52" s="60">
        <f>IF(N52=0,"",COUNTIF(F52:M52,"&lt;=2")/N52)</f>
        <v/>
      </c>
      <c r="Q52" s="57">
        <f>IF(N52=0,"",MEDIAN(F52:M52))</f>
        <v/>
      </c>
      <c r="R52" s="61">
        <f>IF(N52=0,"Not scored",IF(O52&gt;=0.8,"Include",IF(P52&gt;=0.8,"Exclude","Round 2")))</f>
        <v/>
      </c>
      <c r="S52" s="57" t="inlineStr"/>
      <c r="T52" s="57" t="inlineStr"/>
    </row>
    <row r="53">
      <c r="A53" s="57" t="inlineStr">
        <is>
          <t>Gastrointestinal bleeding embolisation</t>
        </is>
      </c>
      <c r="B53" s="57" t="inlineStr">
        <is>
          <t>Bowel territory, collateral supply, prior surgery/radiotherapy and embolic technique</t>
        </is>
      </c>
      <c r="C53" s="57" t="inlineStr">
        <is>
          <t>Conditional / patient-specific</t>
        </is>
      </c>
      <c r="D53" s="57" t="inlineStr">
        <is>
          <t>No universal rate; depends on territory, collateralisation and case mix</t>
        </is>
      </c>
      <c r="E53" s="57" t="inlineStr">
        <is>
          <t>[7] Society of Interventional Radiology Quality Improvement Standards for Percutaneous Transcatheter Embolization. 2021; PMID 33640083. [8] Sacks et al. Quality improvement guidelines for transcatheter embolization for acute gastrointestinal nonvariceal hemorrhage. 2012; PMID 23150119</t>
        </is>
      </c>
      <c r="F53" s="59" t="inlineStr"/>
      <c r="G53" s="59" t="inlineStr"/>
      <c r="H53" s="59" t="inlineStr"/>
      <c r="I53" s="59" t="inlineStr"/>
      <c r="J53" s="59" t="inlineStr"/>
      <c r="K53" s="59" t="inlineStr"/>
      <c r="L53" s="59" t="inlineStr"/>
      <c r="M53" s="59" t="inlineStr"/>
      <c r="N53" s="57">
        <f>COUNT(F53:M53)</f>
        <v/>
      </c>
      <c r="O53" s="60">
        <f>IF(N53=0,"",COUNTIF(F53:M53,"&gt;=4")/N53)</f>
        <v/>
      </c>
      <c r="P53" s="60">
        <f>IF(N53=0,"",COUNTIF(F53:M53,"&lt;=2")/N53)</f>
        <v/>
      </c>
      <c r="Q53" s="57">
        <f>IF(N53=0,"",MEDIAN(F53:M53))</f>
        <v/>
      </c>
      <c r="R53" s="61">
        <f>IF(N53=0,"Not scored",IF(O53&gt;=0.8,"Include",IF(P53&gt;=0.8,"Exclude","Round 2")))</f>
        <v/>
      </c>
      <c r="S53" s="57" t="inlineStr"/>
      <c r="T53" s="57" t="inlineStr"/>
    </row>
    <row r="54">
      <c r="A54" s="57" t="inlineStr">
        <is>
          <t>Pelvic congestion / pelvic vein embolisation</t>
        </is>
      </c>
      <c r="B54" s="57" t="inlineStr">
        <is>
          <t>Pelvic/back pain or post-procedure thrombophlebitic symptoms</t>
        </is>
      </c>
      <c r="C54" s="57" t="inlineStr">
        <is>
          <t>Core candidate</t>
        </is>
      </c>
      <c r="D54" s="57" t="inlineStr">
        <is>
          <t>No transferable incidence verified from a procedure-specific technical standard</t>
        </is>
      </c>
      <c r="E54" s="57" t="inlineStr">
        <is>
          <t>[9] BSIR. Pelvic Congestion Syndrome and Pelvic Vein Embolisation patient information. Current webpage, accessed 2 Oct 2026; procedure-specific technical standard still to confirm</t>
        </is>
      </c>
      <c r="F54" s="59" t="inlineStr"/>
      <c r="G54" s="59" t="inlineStr"/>
      <c r="H54" s="59" t="inlineStr"/>
      <c r="I54" s="59" t="inlineStr"/>
      <c r="J54" s="59" t="inlineStr"/>
      <c r="K54" s="59" t="inlineStr"/>
      <c r="L54" s="59" t="inlineStr"/>
      <c r="M54" s="59" t="inlineStr"/>
      <c r="N54" s="57">
        <f>COUNT(F54:M54)</f>
        <v/>
      </c>
      <c r="O54" s="60">
        <f>IF(N54=0,"",COUNTIF(F54:M54,"&gt;=4")/N54)</f>
        <v/>
      </c>
      <c r="P54" s="60">
        <f>IF(N54=0,"",COUNTIF(F54:M54,"&lt;=2")/N54)</f>
        <v/>
      </c>
      <c r="Q54" s="57">
        <f>IF(N54=0,"",MEDIAN(F54:M54))</f>
        <v/>
      </c>
      <c r="R54" s="61">
        <f>IF(N54=0,"Not scored",IF(O54&gt;=0.8,"Include",IF(P54&gt;=0.8,"Exclude","Round 2")))</f>
        <v/>
      </c>
      <c r="S54" s="57" t="inlineStr"/>
      <c r="T54" s="57" t="inlineStr"/>
    </row>
    <row r="55">
      <c r="A55" s="57" t="inlineStr">
        <is>
          <t>Pelvic congestion / pelvic vein embolisation</t>
        </is>
      </c>
      <c r="B55" s="57" t="inlineStr">
        <is>
          <t>persistent/recurrent symptoms</t>
        </is>
      </c>
      <c r="C55" s="57" t="inlineStr">
        <is>
          <t>Core candidate</t>
        </is>
      </c>
      <c r="D55" s="57" t="inlineStr">
        <is>
          <t>No transferable incidence verified from a procedure-specific technical standard</t>
        </is>
      </c>
      <c r="E55" s="57" t="inlineStr">
        <is>
          <t>[9] BSIR. Pelvic Congestion Syndrome and Pelvic Vein Embolisation patient information. Current webpage, accessed 2 Oct 2026; procedure-specific technical standard still to confirm</t>
        </is>
      </c>
      <c r="F55" s="59" t="inlineStr"/>
      <c r="G55" s="59" t="inlineStr"/>
      <c r="H55" s="59" t="inlineStr"/>
      <c r="I55" s="59" t="inlineStr"/>
      <c r="J55" s="59" t="inlineStr"/>
      <c r="K55" s="59" t="inlineStr"/>
      <c r="L55" s="59" t="inlineStr"/>
      <c r="M55" s="59" t="inlineStr"/>
      <c r="N55" s="57">
        <f>COUNT(F55:M55)</f>
        <v/>
      </c>
      <c r="O55" s="60">
        <f>IF(N55=0,"",COUNTIF(F55:M55,"&gt;=4")/N55)</f>
        <v/>
      </c>
      <c r="P55" s="60">
        <f>IF(N55=0,"",COUNTIF(F55:M55,"&lt;=2")/N55)</f>
        <v/>
      </c>
      <c r="Q55" s="57">
        <f>IF(N55=0,"",MEDIAN(F55:M55))</f>
        <v/>
      </c>
      <c r="R55" s="61">
        <f>IF(N55=0,"Not scored",IF(O55&gt;=0.8,"Include",IF(P55&gt;=0.8,"Exclude","Round 2")))</f>
        <v/>
      </c>
      <c r="S55" s="57" t="inlineStr"/>
      <c r="T55" s="57" t="inlineStr"/>
    </row>
    <row r="56">
      <c r="A56" s="57" t="inlineStr">
        <is>
          <t>Pelvic congestion / pelvic vein embolisation</t>
        </is>
      </c>
      <c r="B56" s="57" t="inlineStr">
        <is>
          <t>Venous injury/perforation</t>
        </is>
      </c>
      <c r="C56" s="57" t="inlineStr">
        <is>
          <t>Core candidate</t>
        </is>
      </c>
      <c r="D56" s="57" t="inlineStr">
        <is>
          <t>No transferable incidence verified from a procedure-specific technical standard</t>
        </is>
      </c>
      <c r="E56" s="57" t="inlineStr">
        <is>
          <t>[9] BSIR. Pelvic Congestion Syndrome and Pelvic Vein Embolisation patient information. Current webpage, accessed 2 Oct 2026; procedure-specific technical standard still to confirm</t>
        </is>
      </c>
      <c r="F56" s="59" t="inlineStr"/>
      <c r="G56" s="59" t="inlineStr"/>
      <c r="H56" s="59" t="inlineStr"/>
      <c r="I56" s="59" t="inlineStr"/>
      <c r="J56" s="59" t="inlineStr"/>
      <c r="K56" s="59" t="inlineStr"/>
      <c r="L56" s="59" t="inlineStr"/>
      <c r="M56" s="59" t="inlineStr"/>
      <c r="N56" s="57">
        <f>COUNT(F56:M56)</f>
        <v/>
      </c>
      <c r="O56" s="60">
        <f>IF(N56=0,"",COUNTIF(F56:M56,"&gt;=4")/N56)</f>
        <v/>
      </c>
      <c r="P56" s="60">
        <f>IF(N56=0,"",COUNTIF(F56:M56,"&lt;=2")/N56)</f>
        <v/>
      </c>
      <c r="Q56" s="57">
        <f>IF(N56=0,"",MEDIAN(F56:M56))</f>
        <v/>
      </c>
      <c r="R56" s="61">
        <f>IF(N56=0,"Not scored",IF(O56&gt;=0.8,"Include",IF(P56&gt;=0.8,"Exclude","Round 2")))</f>
        <v/>
      </c>
      <c r="S56" s="57" t="inlineStr"/>
      <c r="T56" s="57" t="inlineStr"/>
    </row>
    <row r="57">
      <c r="A57" s="57" t="inlineStr">
        <is>
          <t>Pelvic congestion / pelvic vein embolisation</t>
        </is>
      </c>
      <c r="B57" s="57" t="inlineStr">
        <is>
          <t>non-target embolisation</t>
        </is>
      </c>
      <c r="C57" s="57" t="inlineStr">
        <is>
          <t>Core candidate</t>
        </is>
      </c>
      <c r="D57" s="57" t="inlineStr">
        <is>
          <t>No transferable incidence verified from a procedure-specific technical standard</t>
        </is>
      </c>
      <c r="E57" s="57" t="inlineStr">
        <is>
          <t>[9] BSIR. Pelvic Congestion Syndrome and Pelvic Vein Embolisation patient information. Current webpage, accessed 2 Oct 2026; procedure-specific technical standard still to confirm</t>
        </is>
      </c>
      <c r="F57" s="59" t="inlineStr"/>
      <c r="G57" s="59" t="inlineStr"/>
      <c r="H57" s="59" t="inlineStr"/>
      <c r="I57" s="59" t="inlineStr"/>
      <c r="J57" s="59" t="inlineStr"/>
      <c r="K57" s="59" t="inlineStr"/>
      <c r="L57" s="59" t="inlineStr"/>
      <c r="M57" s="59" t="inlineStr"/>
      <c r="N57" s="57">
        <f>COUNT(F57:M57)</f>
        <v/>
      </c>
      <c r="O57" s="60">
        <f>IF(N57=0,"",COUNTIF(F57:M57,"&gt;=4")/N57)</f>
        <v/>
      </c>
      <c r="P57" s="60">
        <f>IF(N57=0,"",COUNTIF(F57:M57,"&lt;=2")/N57)</f>
        <v/>
      </c>
      <c r="Q57" s="57">
        <f>IF(N57=0,"",MEDIAN(F57:M57))</f>
        <v/>
      </c>
      <c r="R57" s="61">
        <f>IF(N57=0,"Not scored",IF(O57&gt;=0.8,"Include",IF(P57&gt;=0.8,"Exclude","Round 2")))</f>
        <v/>
      </c>
      <c r="S57" s="57" t="inlineStr"/>
      <c r="T57" s="57" t="inlineStr"/>
    </row>
    <row r="58">
      <c r="A58" s="57" t="inlineStr">
        <is>
          <t>Pelvic congestion / pelvic vein embolisation</t>
        </is>
      </c>
      <c r="B58" s="57" t="inlineStr">
        <is>
          <t>repeat treatment</t>
        </is>
      </c>
      <c r="C58" s="57" t="inlineStr">
        <is>
          <t>Core candidate</t>
        </is>
      </c>
      <c r="D58" s="57" t="inlineStr">
        <is>
          <t>No transferable incidence verified from a procedure-specific technical standard</t>
        </is>
      </c>
      <c r="E58" s="57" t="inlineStr">
        <is>
          <t>[9] BSIR. Pelvic Congestion Syndrome and Pelvic Vein Embolisation patient information. Current webpage, accessed 2 Oct 2026; procedure-specific technical standard still to confirm</t>
        </is>
      </c>
      <c r="F58" s="59" t="inlineStr"/>
      <c r="G58" s="59" t="inlineStr"/>
      <c r="H58" s="59" t="inlineStr"/>
      <c r="I58" s="59" t="inlineStr"/>
      <c r="J58" s="59" t="inlineStr"/>
      <c r="K58" s="59" t="inlineStr"/>
      <c r="L58" s="59" t="inlineStr"/>
      <c r="M58" s="59" t="inlineStr"/>
      <c r="N58" s="57">
        <f>COUNT(F58:M58)</f>
        <v/>
      </c>
      <c r="O58" s="60">
        <f>IF(N58=0,"",COUNTIF(F58:M58,"&gt;=4")/N58)</f>
        <v/>
      </c>
      <c r="P58" s="60">
        <f>IF(N58=0,"",COUNTIF(F58:M58,"&lt;=2")/N58)</f>
        <v/>
      </c>
      <c r="Q58" s="57">
        <f>IF(N58=0,"",MEDIAN(F58:M58))</f>
        <v/>
      </c>
      <c r="R58" s="61">
        <f>IF(N58=0,"Not scored",IF(O58&gt;=0.8,"Include",IF(P58&gt;=0.8,"Exclude","Round 2")))</f>
        <v/>
      </c>
      <c r="S58" s="57" t="inlineStr"/>
      <c r="T58" s="57" t="inlineStr"/>
    </row>
    <row r="59">
      <c r="A59" s="57" t="inlineStr">
        <is>
          <t>Pelvic congestion / pelvic vein embolisation</t>
        </is>
      </c>
      <c r="B59" s="57" t="inlineStr">
        <is>
          <t>Coil/plug/liquid-agent migration, potentially pulmonary</t>
        </is>
      </c>
      <c r="C59" s="57" t="inlineStr">
        <is>
          <t>Core candidate</t>
        </is>
      </c>
      <c r="D59" s="57" t="inlineStr">
        <is>
          <t>No transferable incidence verified from a procedure-specific technical standard</t>
        </is>
      </c>
      <c r="E59" s="57" t="inlineStr">
        <is>
          <t>[9] BSIR. Pelvic Congestion Syndrome and Pelvic Vein Embolisation patient information. Current webpage, accessed 2 Oct 2026; procedure-specific technical standard still to confirm</t>
        </is>
      </c>
      <c r="F59" s="59" t="inlineStr"/>
      <c r="G59" s="59" t="inlineStr"/>
      <c r="H59" s="59" t="inlineStr"/>
      <c r="I59" s="59" t="inlineStr"/>
      <c r="J59" s="59" t="inlineStr"/>
      <c r="K59" s="59" t="inlineStr"/>
      <c r="L59" s="59" t="inlineStr"/>
      <c r="M59" s="59" t="inlineStr"/>
      <c r="N59" s="57">
        <f>COUNT(F59:M59)</f>
        <v/>
      </c>
      <c r="O59" s="60">
        <f>IF(N59=0,"",COUNTIF(F59:M59,"&gt;=4")/N59)</f>
        <v/>
      </c>
      <c r="P59" s="60">
        <f>IF(N59=0,"",COUNTIF(F59:M59,"&lt;=2")/N59)</f>
        <v/>
      </c>
      <c r="Q59" s="57">
        <f>IF(N59=0,"",MEDIAN(F59:M59))</f>
        <v/>
      </c>
      <c r="R59" s="61">
        <f>IF(N59=0,"Not scored",IF(O59&gt;=0.8,"Include",IF(P59&gt;=0.8,"Exclude","Round 2")))</f>
        <v/>
      </c>
      <c r="S59" s="57" t="inlineStr"/>
      <c r="T59" s="57" t="inlineStr"/>
    </row>
    <row r="60">
      <c r="A60" s="57" t="inlineStr">
        <is>
          <t>Pelvic congestion / pelvic vein embolisation</t>
        </is>
      </c>
      <c r="B60" s="57" t="inlineStr">
        <is>
          <t>severe non-target embolisation</t>
        </is>
      </c>
      <c r="C60" s="57" t="inlineStr">
        <is>
          <t>Core candidate</t>
        </is>
      </c>
      <c r="D60" s="57" t="inlineStr">
        <is>
          <t>No transferable incidence verified from a procedure-specific technical standard</t>
        </is>
      </c>
      <c r="E60" s="57" t="inlineStr">
        <is>
          <t>[9] BSIR. Pelvic Congestion Syndrome and Pelvic Vein Embolisation patient information. Current webpage, accessed 2 Oct 2026; procedure-specific technical standard still to confirm</t>
        </is>
      </c>
      <c r="F60" s="59" t="inlineStr"/>
      <c r="G60" s="59" t="inlineStr"/>
      <c r="H60" s="59" t="inlineStr"/>
      <c r="I60" s="59" t="inlineStr"/>
      <c r="J60" s="59" t="inlineStr"/>
      <c r="K60" s="59" t="inlineStr"/>
      <c r="L60" s="59" t="inlineStr"/>
      <c r="M60" s="59" t="inlineStr"/>
      <c r="N60" s="57">
        <f>COUNT(F60:M60)</f>
        <v/>
      </c>
      <c r="O60" s="60">
        <f>IF(N60=0,"",COUNTIF(F60:M60,"&gt;=4")/N60)</f>
        <v/>
      </c>
      <c r="P60" s="60">
        <f>IF(N60=0,"",COUNTIF(F60:M60,"&lt;=2")/N60)</f>
        <v/>
      </c>
      <c r="Q60" s="57">
        <f>IF(N60=0,"",MEDIAN(F60:M60))</f>
        <v/>
      </c>
      <c r="R60" s="61">
        <f>IF(N60=0,"Not scored",IF(O60&gt;=0.8,"Include",IF(P60&gt;=0.8,"Exclude","Round 2")))</f>
        <v/>
      </c>
      <c r="S60" s="57" t="inlineStr"/>
      <c r="T60" s="57" t="inlineStr"/>
    </row>
    <row r="61">
      <c r="A61" s="57" t="inlineStr">
        <is>
          <t>Pelvic congestion / pelvic vein embolisation</t>
        </is>
      </c>
      <c r="B61" s="57" t="inlineStr">
        <is>
          <t>Venous access bleeding/haematoma</t>
        </is>
      </c>
      <c r="C61" s="57" t="inlineStr">
        <is>
          <t>Core candidate</t>
        </is>
      </c>
      <c r="D61" s="57" t="inlineStr">
        <is>
          <t>No transferable incidence verified from a procedure-specific technical standard</t>
        </is>
      </c>
      <c r="E61" s="57" t="inlineStr">
        <is>
          <t>[9] BSIR. Pelvic Congestion Syndrome and Pelvic Vein Embolisation patient information. Current webpage, accessed 2 Oct 2026; procedure-specific technical standard still to confirm</t>
        </is>
      </c>
      <c r="F61" s="59" t="inlineStr"/>
      <c r="G61" s="59" t="inlineStr"/>
      <c r="H61" s="59" t="inlineStr"/>
      <c r="I61" s="59" t="inlineStr"/>
      <c r="J61" s="59" t="inlineStr"/>
      <c r="K61" s="59" t="inlineStr"/>
      <c r="L61" s="59" t="inlineStr"/>
      <c r="M61" s="59" t="inlineStr"/>
      <c r="N61" s="57">
        <f>COUNT(F61:M61)</f>
        <v/>
      </c>
      <c r="O61" s="60">
        <f>IF(N61=0,"",COUNTIF(F61:M61,"&gt;=4")/N61)</f>
        <v/>
      </c>
      <c r="P61" s="60">
        <f>IF(N61=0,"",COUNTIF(F61:M61,"&lt;=2")/N61)</f>
        <v/>
      </c>
      <c r="Q61" s="57">
        <f>IF(N61=0,"",MEDIAN(F61:M61))</f>
        <v/>
      </c>
      <c r="R61" s="61">
        <f>IF(N61=0,"Not scored",IF(O61&gt;=0.8,"Include",IF(P61&gt;=0.8,"Exclude","Round 2")))</f>
        <v/>
      </c>
      <c r="S61" s="57" t="inlineStr"/>
      <c r="T61" s="57" t="inlineStr"/>
    </row>
    <row r="62">
      <c r="A62" s="57" t="inlineStr">
        <is>
          <t>Pelvic congestion / pelvic vein embolisation</t>
        </is>
      </c>
      <c r="B62" s="57" t="inlineStr">
        <is>
          <t>Contrast reaction/AKI and radiation</t>
        </is>
      </c>
      <c r="C62" s="57" t="inlineStr">
        <is>
          <t>Conditional / patient-specific</t>
        </is>
      </c>
      <c r="D62" s="57" t="inlineStr">
        <is>
          <t>No transferable incidence verified from a procedure-specific technical standard</t>
        </is>
      </c>
      <c r="E62" s="57" t="inlineStr">
        <is>
          <t>[9] BSIR. Pelvic Congestion Syndrome and Pelvic Vein Embolisation patient information. Current webpage, accessed 2 Oct 2026; procedure-specific technical standard still to confirm</t>
        </is>
      </c>
      <c r="F62" s="59" t="inlineStr"/>
      <c r="G62" s="59" t="inlineStr"/>
      <c r="H62" s="59" t="inlineStr"/>
      <c r="I62" s="59" t="inlineStr"/>
      <c r="J62" s="59" t="inlineStr"/>
      <c r="K62" s="59" t="inlineStr"/>
      <c r="L62" s="59" t="inlineStr"/>
      <c r="M62" s="59" t="inlineStr"/>
      <c r="N62" s="57">
        <f>COUNT(F62:M62)</f>
        <v/>
      </c>
      <c r="O62" s="60">
        <f>IF(N62=0,"",COUNTIF(F62:M62,"&gt;=4")/N62)</f>
        <v/>
      </c>
      <c r="P62" s="60">
        <f>IF(N62=0,"",COUNTIF(F62:M62,"&lt;=2")/N62)</f>
        <v/>
      </c>
      <c r="Q62" s="57">
        <f>IF(N62=0,"",MEDIAN(F62:M62))</f>
        <v/>
      </c>
      <c r="R62" s="61">
        <f>IF(N62=0,"Not scored",IF(O62&gt;=0.8,"Include",IF(P62&gt;=0.8,"Exclude","Round 2")))</f>
        <v/>
      </c>
      <c r="S62" s="57" t="inlineStr"/>
      <c r="T62" s="57" t="inlineStr"/>
    </row>
    <row r="63">
      <c r="A63" s="57" t="inlineStr">
        <is>
          <t>Pelvic congestion / pelvic vein embolisation</t>
        </is>
      </c>
      <c r="B63" s="57" t="inlineStr">
        <is>
          <t>sedation if used</t>
        </is>
      </c>
      <c r="C63" s="57" t="inlineStr">
        <is>
          <t>Conditional / patient-specific</t>
        </is>
      </c>
      <c r="D63" s="57" t="inlineStr">
        <is>
          <t>No transferable incidence verified from a procedure-specific technical standard</t>
        </is>
      </c>
      <c r="E63" s="57" t="inlineStr">
        <is>
          <t>[9] BSIR. Pelvic Congestion Syndrome and Pelvic Vein Embolisation patient information. Current webpage, accessed 2 Oct 2026; procedure-specific technical standard still to confirm</t>
        </is>
      </c>
      <c r="F63" s="59" t="inlineStr"/>
      <c r="G63" s="59" t="inlineStr"/>
      <c r="H63" s="59" t="inlineStr"/>
      <c r="I63" s="59" t="inlineStr"/>
      <c r="J63" s="59" t="inlineStr"/>
      <c r="K63" s="59" t="inlineStr"/>
      <c r="L63" s="59" t="inlineStr"/>
      <c r="M63" s="59" t="inlineStr"/>
      <c r="N63" s="57">
        <f>COUNT(F63:M63)</f>
        <v/>
      </c>
      <c r="O63" s="60">
        <f>IF(N63=0,"",COUNTIF(F63:M63,"&gt;=4")/N63)</f>
        <v/>
      </c>
      <c r="P63" s="60">
        <f>IF(N63=0,"",COUNTIF(F63:M63,"&lt;=2")/N63)</f>
        <v/>
      </c>
      <c r="Q63" s="57">
        <f>IF(N63=0,"",MEDIAN(F63:M63))</f>
        <v/>
      </c>
      <c r="R63" s="61">
        <f>IF(N63=0,"Not scored",IF(O63&gt;=0.8,"Include",IF(P63&gt;=0.8,"Exclude","Round 2")))</f>
        <v/>
      </c>
      <c r="S63" s="57" t="inlineStr"/>
      <c r="T63" s="57" t="inlineStr"/>
    </row>
    <row r="64">
      <c r="A64" s="57" t="inlineStr">
        <is>
          <t>Pelvic congestion / pelvic vein embolisation</t>
        </is>
      </c>
      <c r="B64" s="57" t="inlineStr">
        <is>
          <t>Access route, embolic material/device, anatomy, pregnancy/fertility context</t>
        </is>
      </c>
      <c r="C64" s="57" t="inlineStr">
        <is>
          <t>Conditional / patient-specific</t>
        </is>
      </c>
      <c r="D64" s="57" t="inlineStr">
        <is>
          <t>No transferable incidence verified from a procedure-specific technical standard</t>
        </is>
      </c>
      <c r="E64" s="57" t="inlineStr">
        <is>
          <t>[9] BSIR. Pelvic Congestion Syndrome and Pelvic Vein Embolisation patient information. Current webpage, accessed 2 Oct 2026; procedure-specific technical standard still to confirm</t>
        </is>
      </c>
      <c r="F64" s="59" t="inlineStr"/>
      <c r="G64" s="59" t="inlineStr"/>
      <c r="H64" s="59" t="inlineStr"/>
      <c r="I64" s="59" t="inlineStr"/>
      <c r="J64" s="59" t="inlineStr"/>
      <c r="K64" s="59" t="inlineStr"/>
      <c r="L64" s="59" t="inlineStr"/>
      <c r="M64" s="59" t="inlineStr"/>
      <c r="N64" s="57">
        <f>COUNT(F64:M64)</f>
        <v/>
      </c>
      <c r="O64" s="60">
        <f>IF(N64=0,"",COUNTIF(F64:M64,"&gt;=4")/N64)</f>
        <v/>
      </c>
      <c r="P64" s="60">
        <f>IF(N64=0,"",COUNTIF(F64:M64,"&lt;=2")/N64)</f>
        <v/>
      </c>
      <c r="Q64" s="57">
        <f>IF(N64=0,"",MEDIAN(F64:M64))</f>
        <v/>
      </c>
      <c r="R64" s="61">
        <f>IF(N64=0,"Not scored",IF(O64&gt;=0.8,"Include",IF(P64&gt;=0.8,"Exclude","Round 2")))</f>
        <v/>
      </c>
      <c r="S64" s="57" t="inlineStr"/>
      <c r="T64" s="57" t="inlineStr"/>
    </row>
    <row r="65">
      <c r="A65" s="57" t="inlineStr">
        <is>
          <t>Percutaneous gastrostomy insertion</t>
        </is>
      </c>
      <c r="B65" s="57" t="inlineStr">
        <is>
          <t>Pain</t>
        </is>
      </c>
      <c r="C65" s="57" t="inlineStr">
        <is>
          <t>Core candidate</t>
        </is>
      </c>
      <c r="D65" s="57" t="inlineStr">
        <is>
          <t>No universal rate applied</t>
        </is>
      </c>
      <c r="E65" s="57" t="inlineStr">
        <is>
          <t>[11] Ryan et al. CIRSE/SIR multidisciplinary practical guidelines for gastrointestinal access for enteral nutrition and decompression. 2011; primary PDF</t>
        </is>
      </c>
      <c r="F65" s="59" t="inlineStr"/>
      <c r="G65" s="59" t="inlineStr"/>
      <c r="H65" s="59" t="inlineStr"/>
      <c r="I65" s="59" t="inlineStr"/>
      <c r="J65" s="59" t="inlineStr"/>
      <c r="K65" s="59" t="inlineStr"/>
      <c r="L65" s="59" t="inlineStr"/>
      <c r="M65" s="59" t="inlineStr"/>
      <c r="N65" s="57">
        <f>COUNT(F65:M65)</f>
        <v/>
      </c>
      <c r="O65" s="60">
        <f>IF(N65=0,"",COUNTIF(F65:M65,"&gt;=4")/N65)</f>
        <v/>
      </c>
      <c r="P65" s="60">
        <f>IF(N65=0,"",COUNTIF(F65:M65,"&lt;=2")/N65)</f>
        <v/>
      </c>
      <c r="Q65" s="57">
        <f>IF(N65=0,"",MEDIAN(F65:M65))</f>
        <v/>
      </c>
      <c r="R65" s="61">
        <f>IF(N65=0,"Not scored",IF(O65&gt;=0.8,"Include",IF(P65&gt;=0.8,"Exclude","Round 2")))</f>
        <v/>
      </c>
      <c r="S65" s="57" t="inlineStr"/>
      <c r="T65" s="57" t="inlineStr"/>
    </row>
    <row r="66">
      <c r="A66" s="57" t="inlineStr">
        <is>
          <t>Percutaneous gastrostomy insertion</t>
        </is>
      </c>
      <c r="B66" s="57" t="inlineStr">
        <is>
          <t>peristomal infection</t>
        </is>
      </c>
      <c r="C66" s="57" t="inlineStr">
        <is>
          <t>Core candidate</t>
        </is>
      </c>
      <c r="D66" s="57" t="inlineStr">
        <is>
          <t>No universal rate applied</t>
        </is>
      </c>
      <c r="E66" s="57" t="inlineStr">
        <is>
          <t>[11] Ryan et al. CIRSE/SIR multidisciplinary practical guidelines for gastrointestinal access for enteral nutrition and decompression. 2011; primary PDF</t>
        </is>
      </c>
      <c r="F66" s="59" t="inlineStr"/>
      <c r="G66" s="59" t="inlineStr"/>
      <c r="H66" s="59" t="inlineStr"/>
      <c r="I66" s="59" t="inlineStr"/>
      <c r="J66" s="59" t="inlineStr"/>
      <c r="K66" s="59" t="inlineStr"/>
      <c r="L66" s="59" t="inlineStr"/>
      <c r="M66" s="59" t="inlineStr"/>
      <c r="N66" s="57">
        <f>COUNT(F66:M66)</f>
        <v/>
      </c>
      <c r="O66" s="60">
        <f>IF(N66=0,"",COUNTIF(F66:M66,"&gt;=4")/N66)</f>
        <v/>
      </c>
      <c r="P66" s="60">
        <f>IF(N66=0,"",COUNTIF(F66:M66,"&lt;=2")/N66)</f>
        <v/>
      </c>
      <c r="Q66" s="57">
        <f>IF(N66=0,"",MEDIAN(F66:M66))</f>
        <v/>
      </c>
      <c r="R66" s="61">
        <f>IF(N66=0,"Not scored",IF(O66&gt;=0.8,"Include",IF(P66&gt;=0.8,"Exclude","Round 2")))</f>
        <v/>
      </c>
      <c r="S66" s="57" t="inlineStr"/>
      <c r="T66" s="57" t="inlineStr"/>
    </row>
    <row r="67">
      <c r="A67" s="57" t="inlineStr">
        <is>
          <t>Percutaneous gastrostomy insertion</t>
        </is>
      </c>
      <c r="B67" s="57" t="inlineStr">
        <is>
          <t>tube leak/dislodgement/blockage</t>
        </is>
      </c>
      <c r="C67" s="57" t="inlineStr">
        <is>
          <t>Core candidate</t>
        </is>
      </c>
      <c r="D67" s="57" t="inlineStr">
        <is>
          <t>No universal rate applied</t>
        </is>
      </c>
      <c r="E67" s="57" t="inlineStr">
        <is>
          <t>[11] Ryan et al. CIRSE/SIR multidisciplinary practical guidelines for gastrointestinal access for enteral nutrition and decompression. 2011; primary PDF</t>
        </is>
      </c>
      <c r="F67" s="59" t="inlineStr"/>
      <c r="G67" s="59" t="inlineStr"/>
      <c r="H67" s="59" t="inlineStr"/>
      <c r="I67" s="59" t="inlineStr"/>
      <c r="J67" s="59" t="inlineStr"/>
      <c r="K67" s="59" t="inlineStr"/>
      <c r="L67" s="59" t="inlineStr"/>
      <c r="M67" s="59" t="inlineStr"/>
      <c r="N67" s="57">
        <f>COUNT(F67:M67)</f>
        <v/>
      </c>
      <c r="O67" s="60">
        <f>IF(N67=0,"",COUNTIF(F67:M67,"&gt;=4")/N67)</f>
        <v/>
      </c>
      <c r="P67" s="60">
        <f>IF(N67=0,"",COUNTIF(F67:M67,"&lt;=2")/N67)</f>
        <v/>
      </c>
      <c r="Q67" s="57">
        <f>IF(N67=0,"",MEDIAN(F67:M67))</f>
        <v/>
      </c>
      <c r="R67" s="61">
        <f>IF(N67=0,"Not scored",IF(O67&gt;=0.8,"Include",IF(P67&gt;=0.8,"Exclude","Round 2")))</f>
        <v/>
      </c>
      <c r="S67" s="57" t="inlineStr"/>
      <c r="T67" s="57" t="inlineStr"/>
    </row>
    <row r="68">
      <c r="A68" s="57" t="inlineStr">
        <is>
          <t>Percutaneous gastrostomy insertion</t>
        </is>
      </c>
      <c r="B68" s="57" t="inlineStr">
        <is>
          <t>Bleeding</t>
        </is>
      </c>
      <c r="C68" s="57" t="inlineStr">
        <is>
          <t>Core candidate</t>
        </is>
      </c>
      <c r="D68" s="57" t="inlineStr">
        <is>
          <t>No universal rate applied</t>
        </is>
      </c>
      <c r="E68" s="57" t="inlineStr">
        <is>
          <t>[11] Ryan et al. CIRSE/SIR multidisciplinary practical guidelines for gastrointestinal access for enteral nutrition and decompression. 2011; primary PDF</t>
        </is>
      </c>
      <c r="F68" s="59" t="inlineStr"/>
      <c r="G68" s="59" t="inlineStr"/>
      <c r="H68" s="59" t="inlineStr"/>
      <c r="I68" s="59" t="inlineStr"/>
      <c r="J68" s="59" t="inlineStr"/>
      <c r="K68" s="59" t="inlineStr"/>
      <c r="L68" s="59" t="inlineStr"/>
      <c r="M68" s="59" t="inlineStr"/>
      <c r="N68" s="57">
        <f>COUNT(F68:M68)</f>
        <v/>
      </c>
      <c r="O68" s="60">
        <f>IF(N68=0,"",COUNTIF(F68:M68,"&gt;=4")/N68)</f>
        <v/>
      </c>
      <c r="P68" s="60">
        <f>IF(N68=0,"",COUNTIF(F68:M68,"&lt;=2")/N68)</f>
        <v/>
      </c>
      <c r="Q68" s="57">
        <f>IF(N68=0,"",MEDIAN(F68:M68))</f>
        <v/>
      </c>
      <c r="R68" s="61">
        <f>IF(N68=0,"Not scored",IF(O68&gt;=0.8,"Include",IF(P68&gt;=0.8,"Exclude","Round 2")))</f>
        <v/>
      </c>
      <c r="S68" s="57" t="inlineStr"/>
      <c r="T68" s="57" t="inlineStr"/>
    </row>
    <row r="69">
      <c r="A69" s="57" t="inlineStr">
        <is>
          <t>Percutaneous gastrostomy insertion</t>
        </is>
      </c>
      <c r="B69" s="57" t="inlineStr">
        <is>
          <t>aspiration</t>
        </is>
      </c>
      <c r="C69" s="57" t="inlineStr">
        <is>
          <t>Core candidate</t>
        </is>
      </c>
      <c r="D69" s="57" t="inlineStr">
        <is>
          <t>No universal rate applied</t>
        </is>
      </c>
      <c r="E69" s="57" t="inlineStr">
        <is>
          <t>[11] Ryan et al. CIRSE/SIR multidisciplinary practical guidelines for gastrointestinal access for enteral nutrition and decompression. 2011; primary PDF</t>
        </is>
      </c>
      <c r="F69" s="59" t="inlineStr"/>
      <c r="G69" s="59" t="inlineStr"/>
      <c r="H69" s="59" t="inlineStr"/>
      <c r="I69" s="59" t="inlineStr"/>
      <c r="J69" s="59" t="inlineStr"/>
      <c r="K69" s="59" t="inlineStr"/>
      <c r="L69" s="59" t="inlineStr"/>
      <c r="M69" s="59" t="inlineStr"/>
      <c r="N69" s="57">
        <f>COUNT(F69:M69)</f>
        <v/>
      </c>
      <c r="O69" s="60">
        <f>IF(N69=0,"",COUNTIF(F69:M69,"&gt;=4")/N69)</f>
        <v/>
      </c>
      <c r="P69" s="60">
        <f>IF(N69=0,"",COUNTIF(F69:M69,"&lt;=2")/N69)</f>
        <v/>
      </c>
      <c r="Q69" s="57">
        <f>IF(N69=0,"",MEDIAN(F69:M69))</f>
        <v/>
      </c>
      <c r="R69" s="61">
        <f>IF(N69=0,"Not scored",IF(O69&gt;=0.8,"Include",IF(P69&gt;=0.8,"Exclude","Round 2")))</f>
        <v/>
      </c>
      <c r="S69" s="57" t="inlineStr"/>
      <c r="T69" s="57" t="inlineStr"/>
    </row>
    <row r="70">
      <c r="A70" s="57" t="inlineStr">
        <is>
          <t>Percutaneous gastrostomy insertion</t>
        </is>
      </c>
      <c r="B70" s="57" t="inlineStr">
        <is>
          <t>bowel/adjacent-organ injury or peritonitis</t>
        </is>
      </c>
      <c r="C70" s="57" t="inlineStr">
        <is>
          <t>Core candidate</t>
        </is>
      </c>
      <c r="D70" s="57" t="inlineStr">
        <is>
          <t>No universal rate applied</t>
        </is>
      </c>
      <c r="E70" s="57" t="inlineStr">
        <is>
          <t>[11] Ryan et al. CIRSE/SIR multidisciplinary practical guidelines for gastrointestinal access for enteral nutrition and decompression. 2011; primary PDF</t>
        </is>
      </c>
      <c r="F70" s="59" t="inlineStr"/>
      <c r="G70" s="59" t="inlineStr"/>
      <c r="H70" s="59" t="inlineStr"/>
      <c r="I70" s="59" t="inlineStr"/>
      <c r="J70" s="59" t="inlineStr"/>
      <c r="K70" s="59" t="inlineStr"/>
      <c r="L70" s="59" t="inlineStr"/>
      <c r="M70" s="59" t="inlineStr"/>
      <c r="N70" s="57">
        <f>COUNT(F70:M70)</f>
        <v/>
      </c>
      <c r="O70" s="60">
        <f>IF(N70=0,"",COUNTIF(F70:M70,"&gt;=4")/N70)</f>
        <v/>
      </c>
      <c r="P70" s="60">
        <f>IF(N70=0,"",COUNTIF(F70:M70,"&lt;=2")/N70)</f>
        <v/>
      </c>
      <c r="Q70" s="57">
        <f>IF(N70=0,"",MEDIAN(F70:M70))</f>
        <v/>
      </c>
      <c r="R70" s="61">
        <f>IF(N70=0,"Not scored",IF(O70&gt;=0.8,"Include",IF(P70&gt;=0.8,"Exclude","Round 2")))</f>
        <v/>
      </c>
      <c r="S70" s="57" t="inlineStr"/>
      <c r="T70" s="57" t="inlineStr"/>
    </row>
    <row r="71">
      <c r="A71" s="57" t="inlineStr">
        <is>
          <t>Percutaneous gastrostomy insertion</t>
        </is>
      </c>
      <c r="B71" s="57" t="inlineStr">
        <is>
          <t>Sepsis or necrotising fasciitis (rare, serious)</t>
        </is>
      </c>
      <c r="C71" s="57" t="inlineStr">
        <is>
          <t>Core candidate</t>
        </is>
      </c>
      <c r="D71" s="57" t="inlineStr">
        <is>
          <t>No universal rate applied</t>
        </is>
      </c>
      <c r="E71" s="57" t="inlineStr">
        <is>
          <t>[11] Ryan et al. CIRSE/SIR multidisciplinary practical guidelines for gastrointestinal access for enteral nutrition and decompression. 2011; primary PDF</t>
        </is>
      </c>
      <c r="F71" s="59" t="inlineStr"/>
      <c r="G71" s="59" t="inlineStr"/>
      <c r="H71" s="59" t="inlineStr"/>
      <c r="I71" s="59" t="inlineStr"/>
      <c r="J71" s="59" t="inlineStr"/>
      <c r="K71" s="59" t="inlineStr"/>
      <c r="L71" s="59" t="inlineStr"/>
      <c r="M71" s="59" t="inlineStr"/>
      <c r="N71" s="57">
        <f>COUNT(F71:M71)</f>
        <v/>
      </c>
      <c r="O71" s="60">
        <f>IF(N71=0,"",COUNTIF(F71:M71,"&gt;=4")/N71)</f>
        <v/>
      </c>
      <c r="P71" s="60">
        <f>IF(N71=0,"",COUNTIF(F71:M71,"&lt;=2")/N71)</f>
        <v/>
      </c>
      <c r="Q71" s="57">
        <f>IF(N71=0,"",MEDIAN(F71:M71))</f>
        <v/>
      </c>
      <c r="R71" s="61">
        <f>IF(N71=0,"Not scored",IF(O71&gt;=0.8,"Include",IF(P71&gt;=0.8,"Exclude","Round 2")))</f>
        <v/>
      </c>
      <c r="S71" s="57" t="inlineStr"/>
      <c r="T71" s="57" t="inlineStr"/>
    </row>
    <row r="72">
      <c r="A72" s="57" t="inlineStr">
        <is>
          <t>Percutaneous gastrostomy insertion</t>
        </is>
      </c>
      <c r="B72" s="57" t="inlineStr">
        <is>
          <t>failure/abandonment if unsafe</t>
        </is>
      </c>
      <c r="C72" s="57" t="inlineStr">
        <is>
          <t>Core candidate</t>
        </is>
      </c>
      <c r="D72" s="57" t="inlineStr">
        <is>
          <t>No universal rate applied</t>
        </is>
      </c>
      <c r="E72" s="57" t="inlineStr">
        <is>
          <t>[11] Ryan et al. CIRSE/SIR multidisciplinary practical guidelines for gastrointestinal access for enteral nutrition and decompression. 2011; primary PDF</t>
        </is>
      </c>
      <c r="F72" s="59" t="inlineStr"/>
      <c r="G72" s="59" t="inlineStr"/>
      <c r="H72" s="59" t="inlineStr"/>
      <c r="I72" s="59" t="inlineStr"/>
      <c r="J72" s="59" t="inlineStr"/>
      <c r="K72" s="59" t="inlineStr"/>
      <c r="L72" s="59" t="inlineStr"/>
      <c r="M72" s="59" t="inlineStr"/>
      <c r="N72" s="57">
        <f>COUNT(F72:M72)</f>
        <v/>
      </c>
      <c r="O72" s="60">
        <f>IF(N72=0,"",COUNTIF(F72:M72,"&gt;=4")/N72)</f>
        <v/>
      </c>
      <c r="P72" s="60">
        <f>IF(N72=0,"",COUNTIF(F72:M72,"&lt;=2")/N72)</f>
        <v/>
      </c>
      <c r="Q72" s="57">
        <f>IF(N72=0,"",MEDIAN(F72:M72))</f>
        <v/>
      </c>
      <c r="R72" s="61">
        <f>IF(N72=0,"Not scored",IF(O72&gt;=0.8,"Include",IF(P72&gt;=0.8,"Exclude","Round 2")))</f>
        <v/>
      </c>
      <c r="S72" s="57" t="inlineStr"/>
      <c r="T72" s="57" t="inlineStr"/>
    </row>
    <row r="73">
      <c r="A73" s="57" t="inlineStr">
        <is>
          <t>Percutaneous gastrostomy insertion</t>
        </is>
      </c>
      <c r="B73" s="57" t="inlineStr">
        <is>
          <t>Puncture-site bleeding</t>
        </is>
      </c>
      <c r="C73" s="57" t="inlineStr">
        <is>
          <t>Core candidate</t>
        </is>
      </c>
      <c r="D73" s="57" t="inlineStr">
        <is>
          <t>No universal rate applied</t>
        </is>
      </c>
      <c r="E73" s="57" t="inlineStr">
        <is>
          <t>[11] Ryan et al. CIRSE/SIR multidisciplinary practical guidelines for gastrointestinal access for enteral nutrition and decompression. 2011; primary PDF</t>
        </is>
      </c>
      <c r="F73" s="59" t="inlineStr"/>
      <c r="G73" s="59" t="inlineStr"/>
      <c r="H73" s="59" t="inlineStr"/>
      <c r="I73" s="59" t="inlineStr"/>
      <c r="J73" s="59" t="inlineStr"/>
      <c r="K73" s="59" t="inlineStr"/>
      <c r="L73" s="59" t="inlineStr"/>
      <c r="M73" s="59" t="inlineStr"/>
      <c r="N73" s="57">
        <f>COUNT(F73:M73)</f>
        <v/>
      </c>
      <c r="O73" s="60">
        <f>IF(N73=0,"",COUNTIF(F73:M73,"&gt;=4")/N73)</f>
        <v/>
      </c>
      <c r="P73" s="60">
        <f>IF(N73=0,"",COUNTIF(F73:M73,"&lt;=2")/N73)</f>
        <v/>
      </c>
      <c r="Q73" s="57">
        <f>IF(N73=0,"",MEDIAN(F73:M73))</f>
        <v/>
      </c>
      <c r="R73" s="61">
        <f>IF(N73=0,"Not scored",IF(O73&gt;=0.8,"Include",IF(P73&gt;=0.8,"Exclude","Round 2")))</f>
        <v/>
      </c>
      <c r="S73" s="57" t="inlineStr"/>
      <c r="T73" s="57" t="inlineStr"/>
    </row>
    <row r="74">
      <c r="A74" s="57" t="inlineStr">
        <is>
          <t>Percutaneous gastrostomy insertion</t>
        </is>
      </c>
      <c r="B74" s="57" t="inlineStr">
        <is>
          <t>Sedation/anaesthesia</t>
        </is>
      </c>
      <c r="C74" s="57" t="inlineStr">
        <is>
          <t>Conditional / patient-specific</t>
        </is>
      </c>
      <c r="D74" s="57" t="inlineStr">
        <is>
          <t>No universal rate applied</t>
        </is>
      </c>
      <c r="E74" s="57" t="inlineStr">
        <is>
          <t>[11] Ryan et al. CIRSE/SIR multidisciplinary practical guidelines for gastrointestinal access for enteral nutrition and decompression. 2011; primary PDF</t>
        </is>
      </c>
      <c r="F74" s="59" t="inlineStr"/>
      <c r="G74" s="59" t="inlineStr"/>
      <c r="H74" s="59" t="inlineStr"/>
      <c r="I74" s="59" t="inlineStr"/>
      <c r="J74" s="59" t="inlineStr"/>
      <c r="K74" s="59" t="inlineStr"/>
      <c r="L74" s="59" t="inlineStr"/>
      <c r="M74" s="59" t="inlineStr"/>
      <c r="N74" s="57">
        <f>COUNT(F74:M74)</f>
        <v/>
      </c>
      <c r="O74" s="60">
        <f>IF(N74=0,"",COUNTIF(F74:M74,"&gt;=4")/N74)</f>
        <v/>
      </c>
      <c r="P74" s="60">
        <f>IF(N74=0,"",COUNTIF(F74:M74,"&lt;=2")/N74)</f>
        <v/>
      </c>
      <c r="Q74" s="57">
        <f>IF(N74=0,"",MEDIAN(F74:M74))</f>
        <v/>
      </c>
      <c r="R74" s="61">
        <f>IF(N74=0,"Not scored",IF(O74&gt;=0.8,"Include",IF(P74&gt;=0.8,"Exclude","Round 2")))</f>
        <v/>
      </c>
      <c r="S74" s="57" t="inlineStr"/>
      <c r="T74" s="57" t="inlineStr"/>
    </row>
    <row r="75">
      <c r="A75" s="57" t="inlineStr">
        <is>
          <t>Percutaneous gastrostomy insertion</t>
        </is>
      </c>
      <c r="B75" s="57" t="inlineStr">
        <is>
          <t>contrast and fluoroscopy where relevant</t>
        </is>
      </c>
      <c r="C75" s="57" t="inlineStr">
        <is>
          <t>Conditional / patient-specific</t>
        </is>
      </c>
      <c r="D75" s="57" t="inlineStr">
        <is>
          <t>No universal rate applied</t>
        </is>
      </c>
      <c r="E75" s="57" t="inlineStr">
        <is>
          <t>[11] Ryan et al. CIRSE/SIR multidisciplinary practical guidelines for gastrointestinal access for enteral nutrition and decompression. 2011; primary PDF</t>
        </is>
      </c>
      <c r="F75" s="59" t="inlineStr"/>
      <c r="G75" s="59" t="inlineStr"/>
      <c r="H75" s="59" t="inlineStr"/>
      <c r="I75" s="59" t="inlineStr"/>
      <c r="J75" s="59" t="inlineStr"/>
      <c r="K75" s="59" t="inlineStr"/>
      <c r="L75" s="59" t="inlineStr"/>
      <c r="M75" s="59" t="inlineStr"/>
      <c r="N75" s="57">
        <f>COUNT(F75:M75)</f>
        <v/>
      </c>
      <c r="O75" s="60">
        <f>IF(N75=0,"",COUNTIF(F75:M75,"&gt;=4")/N75)</f>
        <v/>
      </c>
      <c r="P75" s="60">
        <f>IF(N75=0,"",COUNTIF(F75:M75,"&lt;=2")/N75)</f>
        <v/>
      </c>
      <c r="Q75" s="57">
        <f>IF(N75=0,"",MEDIAN(F75:M75))</f>
        <v/>
      </c>
      <c r="R75" s="61">
        <f>IF(N75=0,"Not scored",IF(O75&gt;=0.8,"Include",IF(P75&gt;=0.8,"Exclude","Round 2")))</f>
        <v/>
      </c>
      <c r="S75" s="57" t="inlineStr"/>
      <c r="T75" s="57" t="inlineStr"/>
    </row>
    <row r="76">
      <c r="A76" s="57" t="inlineStr">
        <is>
          <t>Percutaneous gastrostomy insertion</t>
        </is>
      </c>
      <c r="B76" s="57" t="inlineStr">
        <is>
          <t>Ascites, altered anatomy, prior surgery, airway/aspiration risk</t>
        </is>
      </c>
      <c r="C76" s="57" t="inlineStr">
        <is>
          <t>Conditional / patient-specific</t>
        </is>
      </c>
      <c r="D76" s="57" t="inlineStr">
        <is>
          <t>No universal rate applied</t>
        </is>
      </c>
      <c r="E76" s="57" t="inlineStr">
        <is>
          <t>[11] Ryan et al. CIRSE/SIR multidisciplinary practical guidelines for gastrointestinal access for enteral nutrition and decompression. 2011; primary PDF</t>
        </is>
      </c>
      <c r="F76" s="59" t="inlineStr"/>
      <c r="G76" s="59" t="inlineStr"/>
      <c r="H76" s="59" t="inlineStr"/>
      <c r="I76" s="59" t="inlineStr"/>
      <c r="J76" s="59" t="inlineStr"/>
      <c r="K76" s="59" t="inlineStr"/>
      <c r="L76" s="59" t="inlineStr"/>
      <c r="M76" s="59" t="inlineStr"/>
      <c r="N76" s="57">
        <f>COUNT(F76:M76)</f>
        <v/>
      </c>
      <c r="O76" s="60">
        <f>IF(N76=0,"",COUNTIF(F76:M76,"&gt;=4")/N76)</f>
        <v/>
      </c>
      <c r="P76" s="60">
        <f>IF(N76=0,"",COUNTIF(F76:M76,"&lt;=2")/N76)</f>
        <v/>
      </c>
      <c r="Q76" s="57">
        <f>IF(N76=0,"",MEDIAN(F76:M76))</f>
        <v/>
      </c>
      <c r="R76" s="61">
        <f>IF(N76=0,"Not scored",IF(O76&gt;=0.8,"Include",IF(P76&gt;=0.8,"Exclude","Round 2")))</f>
        <v/>
      </c>
      <c r="S76" s="57" t="inlineStr"/>
      <c r="T76" s="57" t="inlineStr"/>
    </row>
    <row r="77">
      <c r="A77" s="57" t="inlineStr">
        <is>
          <t>Transjugular liver biopsy (TJLB)</t>
        </is>
      </c>
      <c r="B77" s="57" t="inlineStr">
        <is>
          <t>Neck discomfort</t>
        </is>
      </c>
      <c r="C77" s="57" t="inlineStr">
        <is>
          <t>Core candidate</t>
        </is>
      </c>
      <c r="D77" s="57" t="inlineStr">
        <is>
          <t>Rates vary with patient severity, definitions and route</t>
        </is>
      </c>
      <c r="E77" s="57" t="inlineStr">
        <is>
          <t>[12] Neuberger et al. Guidelines on the use of liver biopsy in clinical practice from BSG, RCR and RCPath. 2020; DOI 10.1136/gutjnl-2020-321299; PMID 32467090</t>
        </is>
      </c>
      <c r="F77" s="59" t="inlineStr"/>
      <c r="G77" s="59" t="inlineStr"/>
      <c r="H77" s="59" t="inlineStr"/>
      <c r="I77" s="59" t="inlineStr"/>
      <c r="J77" s="59" t="inlineStr"/>
      <c r="K77" s="59" t="inlineStr"/>
      <c r="L77" s="59" t="inlineStr"/>
      <c r="M77" s="59" t="inlineStr"/>
      <c r="N77" s="57">
        <f>COUNT(F77:M77)</f>
        <v/>
      </c>
      <c r="O77" s="60">
        <f>IF(N77=0,"",COUNTIF(F77:M77,"&gt;=4")/N77)</f>
        <v/>
      </c>
      <c r="P77" s="60">
        <f>IF(N77=0,"",COUNTIF(F77:M77,"&lt;=2")/N77)</f>
        <v/>
      </c>
      <c r="Q77" s="57">
        <f>IF(N77=0,"",MEDIAN(F77:M77))</f>
        <v/>
      </c>
      <c r="R77" s="61">
        <f>IF(N77=0,"Not scored",IF(O77&gt;=0.8,"Include",IF(P77&gt;=0.8,"Exclude","Round 2")))</f>
        <v/>
      </c>
      <c r="S77" s="57" t="inlineStr"/>
      <c r="T77" s="57" t="inlineStr"/>
    </row>
    <row r="78">
      <c r="A78" s="57" t="inlineStr">
        <is>
          <t>Transjugular liver biopsy (TJLB)</t>
        </is>
      </c>
      <c r="B78" s="57" t="inlineStr">
        <is>
          <t>inadequate sample/repeat biopsy</t>
        </is>
      </c>
      <c r="C78" s="57" t="inlineStr">
        <is>
          <t>Core candidate</t>
        </is>
      </c>
      <c r="D78" s="57" t="inlineStr">
        <is>
          <t>Rates vary with patient severity, definitions and route</t>
        </is>
      </c>
      <c r="E78" s="57" t="inlineStr">
        <is>
          <t>[12] Neuberger et al. Guidelines on the use of liver biopsy in clinical practice from BSG, RCR and RCPath. 2020; DOI 10.1136/gutjnl-2020-321299; PMID 32467090</t>
        </is>
      </c>
      <c r="F78" s="59" t="inlineStr"/>
      <c r="G78" s="59" t="inlineStr"/>
      <c r="H78" s="59" t="inlineStr"/>
      <c r="I78" s="59" t="inlineStr"/>
      <c r="J78" s="59" t="inlineStr"/>
      <c r="K78" s="59" t="inlineStr"/>
      <c r="L78" s="59" t="inlineStr"/>
      <c r="M78" s="59" t="inlineStr"/>
      <c r="N78" s="57">
        <f>COUNT(F78:M78)</f>
        <v/>
      </c>
      <c r="O78" s="60">
        <f>IF(N78=0,"",COUNTIF(F78:M78,"&gt;=4")/N78)</f>
        <v/>
      </c>
      <c r="P78" s="60">
        <f>IF(N78=0,"",COUNTIF(F78:M78,"&lt;=2")/N78)</f>
        <v/>
      </c>
      <c r="Q78" s="57">
        <f>IF(N78=0,"",MEDIAN(F78:M78))</f>
        <v/>
      </c>
      <c r="R78" s="61">
        <f>IF(N78=0,"Not scored",IF(O78&gt;=0.8,"Include",IF(P78&gt;=0.8,"Exclude","Round 2")))</f>
        <v/>
      </c>
      <c r="S78" s="57" t="inlineStr"/>
      <c r="T78" s="57" t="inlineStr"/>
    </row>
    <row r="79">
      <c r="A79" s="57" t="inlineStr">
        <is>
          <t>Transjugular liver biopsy (TJLB)</t>
        </is>
      </c>
      <c r="B79" s="57" t="inlineStr">
        <is>
          <t>Neck bleeding/haematoma</t>
        </is>
      </c>
      <c r="C79" s="57" t="inlineStr">
        <is>
          <t>Core candidate</t>
        </is>
      </c>
      <c r="D79" s="57" t="inlineStr">
        <is>
          <t>Rates vary with patient severity, definitions and route</t>
        </is>
      </c>
      <c r="E79" s="57" t="inlineStr">
        <is>
          <t>[12] Neuberger et al. Guidelines on the use of liver biopsy in clinical practice from BSG, RCR and RCPath. 2020; DOI 10.1136/gutjnl-2020-321299; PMID 32467090</t>
        </is>
      </c>
      <c r="F79" s="59" t="inlineStr"/>
      <c r="G79" s="59" t="inlineStr"/>
      <c r="H79" s="59" t="inlineStr"/>
      <c r="I79" s="59" t="inlineStr"/>
      <c r="J79" s="59" t="inlineStr"/>
      <c r="K79" s="59" t="inlineStr"/>
      <c r="L79" s="59" t="inlineStr"/>
      <c r="M79" s="59" t="inlineStr"/>
      <c r="N79" s="57">
        <f>COUNT(F79:M79)</f>
        <v/>
      </c>
      <c r="O79" s="60">
        <f>IF(N79=0,"",COUNTIF(F79:M79,"&gt;=4")/N79)</f>
        <v/>
      </c>
      <c r="P79" s="60">
        <f>IF(N79=0,"",COUNTIF(F79:M79,"&lt;=2")/N79)</f>
        <v/>
      </c>
      <c r="Q79" s="57">
        <f>IF(N79=0,"",MEDIAN(F79:M79))</f>
        <v/>
      </c>
      <c r="R79" s="61">
        <f>IF(N79=0,"Not scored",IF(O79&gt;=0.8,"Include",IF(P79&gt;=0.8,"Exclude","Round 2")))</f>
        <v/>
      </c>
      <c r="S79" s="57" t="inlineStr"/>
      <c r="T79" s="57" t="inlineStr"/>
    </row>
    <row r="80">
      <c r="A80" s="57" t="inlineStr">
        <is>
          <t>Transjugular liver biopsy (TJLB)</t>
        </is>
      </c>
      <c r="B80" s="57" t="inlineStr">
        <is>
          <t>arrhythmia</t>
        </is>
      </c>
      <c r="C80" s="57" t="inlineStr">
        <is>
          <t>Core candidate</t>
        </is>
      </c>
      <c r="D80" s="57" t="inlineStr">
        <is>
          <t>Rates vary with patient severity, definitions and route</t>
        </is>
      </c>
      <c r="E80" s="57" t="inlineStr">
        <is>
          <t>[12] Neuberger et al. Guidelines on the use of liver biopsy in clinical practice from BSG, RCR and RCPath. 2020; DOI 10.1136/gutjnl-2020-321299; PMID 32467090</t>
        </is>
      </c>
      <c r="F80" s="59" t="inlineStr"/>
      <c r="G80" s="59" t="inlineStr"/>
      <c r="H80" s="59" t="inlineStr"/>
      <c r="I80" s="59" t="inlineStr"/>
      <c r="J80" s="59" t="inlineStr"/>
      <c r="K80" s="59" t="inlineStr"/>
      <c r="L80" s="59" t="inlineStr"/>
      <c r="M80" s="59" t="inlineStr"/>
      <c r="N80" s="57">
        <f>COUNT(F80:M80)</f>
        <v/>
      </c>
      <c r="O80" s="60">
        <f>IF(N80=0,"",COUNTIF(F80:M80,"&gt;=4")/N80)</f>
        <v/>
      </c>
      <c r="P80" s="60">
        <f>IF(N80=0,"",COUNTIF(F80:M80,"&lt;=2")/N80)</f>
        <v/>
      </c>
      <c r="Q80" s="57">
        <f>IF(N80=0,"",MEDIAN(F80:M80))</f>
        <v/>
      </c>
      <c r="R80" s="61">
        <f>IF(N80=0,"Not scored",IF(O80&gt;=0.8,"Include",IF(P80&gt;=0.8,"Exclude","Round 2")))</f>
        <v/>
      </c>
      <c r="S80" s="57" t="inlineStr"/>
      <c r="T80" s="57" t="inlineStr"/>
    </row>
    <row r="81">
      <c r="A81" s="57" t="inlineStr">
        <is>
          <t>Transjugular liver biopsy (TJLB)</t>
        </is>
      </c>
      <c r="B81" s="57" t="inlineStr">
        <is>
          <t>capsular perforation or intra-abdominal bleeding</t>
        </is>
      </c>
      <c r="C81" s="57" t="inlineStr">
        <is>
          <t>Core candidate</t>
        </is>
      </c>
      <c r="D81" s="57" t="inlineStr">
        <is>
          <t>Rates vary with patient severity, definitions and route</t>
        </is>
      </c>
      <c r="E81" s="57" t="inlineStr">
        <is>
          <t>[12] Neuberger et al. Guidelines on the use of liver biopsy in clinical practice from BSG, RCR and RCPath. 2020; DOI 10.1136/gutjnl-2020-321299; PMID 32467090</t>
        </is>
      </c>
      <c r="F81" s="59" t="inlineStr"/>
      <c r="G81" s="59" t="inlineStr"/>
      <c r="H81" s="59" t="inlineStr"/>
      <c r="I81" s="59" t="inlineStr"/>
      <c r="J81" s="59" t="inlineStr"/>
      <c r="K81" s="59" t="inlineStr"/>
      <c r="L81" s="59" t="inlineStr"/>
      <c r="M81" s="59" t="inlineStr"/>
      <c r="N81" s="57">
        <f>COUNT(F81:M81)</f>
        <v/>
      </c>
      <c r="O81" s="60">
        <f>IF(N81=0,"",COUNTIF(F81:M81,"&gt;=4")/N81)</f>
        <v/>
      </c>
      <c r="P81" s="60">
        <f>IF(N81=0,"",COUNTIF(F81:M81,"&lt;=2")/N81)</f>
        <v/>
      </c>
      <c r="Q81" s="57">
        <f>IF(N81=0,"",MEDIAN(F81:M81))</f>
        <v/>
      </c>
      <c r="R81" s="61">
        <f>IF(N81=0,"Not scored",IF(O81&gt;=0.8,"Include",IF(P81&gt;=0.8,"Exclude","Round 2")))</f>
        <v/>
      </c>
      <c r="S81" s="57" t="inlineStr"/>
      <c r="T81" s="57" t="inlineStr"/>
    </row>
    <row r="82">
      <c r="A82" s="57" t="inlineStr">
        <is>
          <t>Transjugular liver biopsy (TJLB)</t>
        </is>
      </c>
      <c r="B82" s="57" t="inlineStr">
        <is>
          <t>Haemobilia/biliary injury</t>
        </is>
      </c>
      <c r="C82" s="57" t="inlineStr">
        <is>
          <t>Core candidate</t>
        </is>
      </c>
      <c r="D82" s="57" t="inlineStr">
        <is>
          <t>Rates vary with patient severity, definitions and route</t>
        </is>
      </c>
      <c r="E82" s="57" t="inlineStr">
        <is>
          <t>[12] Neuberger et al. Guidelines on the use of liver biopsy in clinical practice from BSG, RCR and RCPath. 2020; DOI 10.1136/gutjnl-2020-321299; PMID 32467090</t>
        </is>
      </c>
      <c r="F82" s="59" t="inlineStr"/>
      <c r="G82" s="59" t="inlineStr"/>
      <c r="H82" s="59" t="inlineStr"/>
      <c r="I82" s="59" t="inlineStr"/>
      <c r="J82" s="59" t="inlineStr"/>
      <c r="K82" s="59" t="inlineStr"/>
      <c r="L82" s="59" t="inlineStr"/>
      <c r="M82" s="59" t="inlineStr"/>
      <c r="N82" s="57">
        <f>COUNT(F82:M82)</f>
        <v/>
      </c>
      <c r="O82" s="60">
        <f>IF(N82=0,"",COUNTIF(F82:M82,"&gt;=4")/N82)</f>
        <v/>
      </c>
      <c r="P82" s="60">
        <f>IF(N82=0,"",COUNTIF(F82:M82,"&lt;=2")/N82)</f>
        <v/>
      </c>
      <c r="Q82" s="57">
        <f>IF(N82=0,"",MEDIAN(F82:M82))</f>
        <v/>
      </c>
      <c r="R82" s="61">
        <f>IF(N82=0,"Not scored",IF(O82&gt;=0.8,"Include",IF(P82&gt;=0.8,"Exclude","Round 2")))</f>
        <v/>
      </c>
      <c r="S82" s="57" t="inlineStr"/>
      <c r="T82" s="57" t="inlineStr"/>
    </row>
    <row r="83">
      <c r="A83" s="57" t="inlineStr">
        <is>
          <t>Transjugular liver biopsy (TJLB)</t>
        </is>
      </c>
      <c r="B83" s="57" t="inlineStr">
        <is>
          <t>severe bleeding</t>
        </is>
      </c>
      <c r="C83" s="57" t="inlineStr">
        <is>
          <t>Core candidate</t>
        </is>
      </c>
      <c r="D83" s="57" t="inlineStr">
        <is>
          <t>Rates vary with patient severity, definitions and route</t>
        </is>
      </c>
      <c r="E83" s="57" t="inlineStr">
        <is>
          <t>[12] Neuberger et al. Guidelines on the use of liver biopsy in clinical practice from BSG, RCR and RCPath. 2020; DOI 10.1136/gutjnl-2020-321299; PMID 32467090</t>
        </is>
      </c>
      <c r="F83" s="59" t="inlineStr"/>
      <c r="G83" s="59" t="inlineStr"/>
      <c r="H83" s="59" t="inlineStr"/>
      <c r="I83" s="59" t="inlineStr"/>
      <c r="J83" s="59" t="inlineStr"/>
      <c r="K83" s="59" t="inlineStr"/>
      <c r="L83" s="59" t="inlineStr"/>
      <c r="M83" s="59" t="inlineStr"/>
      <c r="N83" s="57">
        <f>COUNT(F83:M83)</f>
        <v/>
      </c>
      <c r="O83" s="60">
        <f>IF(N83=0,"",COUNTIF(F83:M83,"&gt;=4")/N83)</f>
        <v/>
      </c>
      <c r="P83" s="60">
        <f>IF(N83=0,"",COUNTIF(F83:M83,"&lt;=2")/N83)</f>
        <v/>
      </c>
      <c r="Q83" s="57">
        <f>IF(N83=0,"",MEDIAN(F83:M83))</f>
        <v/>
      </c>
      <c r="R83" s="61">
        <f>IF(N83=0,"Not scored",IF(O83&gt;=0.8,"Include",IF(P83&gt;=0.8,"Exclude","Round 2")))</f>
        <v/>
      </c>
      <c r="S83" s="57" t="inlineStr"/>
      <c r="T83" s="57" t="inlineStr"/>
    </row>
    <row r="84">
      <c r="A84" s="57" t="inlineStr">
        <is>
          <t>Transjugular liver biopsy (TJLB)</t>
        </is>
      </c>
      <c r="B84" s="57" t="inlineStr">
        <is>
          <t>Neck puncture bleeding/haematoma</t>
        </is>
      </c>
      <c r="C84" s="57" t="inlineStr">
        <is>
          <t>Core candidate</t>
        </is>
      </c>
      <c r="D84" s="57" t="inlineStr">
        <is>
          <t>Rates vary with patient severity, definitions and route</t>
        </is>
      </c>
      <c r="E84" s="57" t="inlineStr">
        <is>
          <t>[12] Neuberger et al. Guidelines on the use of liver biopsy in clinical practice from BSG, RCR and RCPath. 2020; DOI 10.1136/gutjnl-2020-321299; PMID 32467090</t>
        </is>
      </c>
      <c r="F84" s="59" t="inlineStr"/>
      <c r="G84" s="59" t="inlineStr"/>
      <c r="H84" s="59" t="inlineStr"/>
      <c r="I84" s="59" t="inlineStr"/>
      <c r="J84" s="59" t="inlineStr"/>
      <c r="K84" s="59" t="inlineStr"/>
      <c r="L84" s="59" t="inlineStr"/>
      <c r="M84" s="59" t="inlineStr"/>
      <c r="N84" s="57">
        <f>COUNT(F84:M84)</f>
        <v/>
      </c>
      <c r="O84" s="60">
        <f>IF(N84=0,"",COUNTIF(F84:M84,"&gt;=4")/N84)</f>
        <v/>
      </c>
      <c r="P84" s="60">
        <f>IF(N84=0,"",COUNTIF(F84:M84,"&lt;=2")/N84)</f>
        <v/>
      </c>
      <c r="Q84" s="57">
        <f>IF(N84=0,"",MEDIAN(F84:M84))</f>
        <v/>
      </c>
      <c r="R84" s="61">
        <f>IF(N84=0,"Not scored",IF(O84&gt;=0.8,"Include",IF(P84&gt;=0.8,"Exclude","Round 2")))</f>
        <v/>
      </c>
      <c r="S84" s="57" t="inlineStr"/>
      <c r="T84" s="57" t="inlineStr"/>
    </row>
    <row r="85">
      <c r="A85" s="57" t="inlineStr">
        <is>
          <t>Transjugular liver biopsy (TJLB)</t>
        </is>
      </c>
      <c r="B85" s="57" t="inlineStr">
        <is>
          <t>inadvertent arterial puncture</t>
        </is>
      </c>
      <c r="C85" s="57" t="inlineStr">
        <is>
          <t>Core candidate</t>
        </is>
      </c>
      <c r="D85" s="57" t="inlineStr">
        <is>
          <t>Rates vary with patient severity, definitions and route</t>
        </is>
      </c>
      <c r="E85" s="57" t="inlineStr">
        <is>
          <t>[12] Neuberger et al. Guidelines on the use of liver biopsy in clinical practice from BSG, RCR and RCPath. 2020; DOI 10.1136/gutjnl-2020-321299; PMID 32467090</t>
        </is>
      </c>
      <c r="F85" s="59" t="inlineStr"/>
      <c r="G85" s="59" t="inlineStr"/>
      <c r="H85" s="59" t="inlineStr"/>
      <c r="I85" s="59" t="inlineStr"/>
      <c r="J85" s="59" t="inlineStr"/>
      <c r="K85" s="59" t="inlineStr"/>
      <c r="L85" s="59" t="inlineStr"/>
      <c r="M85" s="59" t="inlineStr"/>
      <c r="N85" s="57">
        <f>COUNT(F85:M85)</f>
        <v/>
      </c>
      <c r="O85" s="60">
        <f>IF(N85=0,"",COUNTIF(F85:M85,"&gt;=4")/N85)</f>
        <v/>
      </c>
      <c r="P85" s="60">
        <f>IF(N85=0,"",COUNTIF(F85:M85,"&lt;=2")/N85)</f>
        <v/>
      </c>
      <c r="Q85" s="57">
        <f>IF(N85=0,"",MEDIAN(F85:M85))</f>
        <v/>
      </c>
      <c r="R85" s="61">
        <f>IF(N85=0,"Not scored",IF(O85&gt;=0.8,"Include",IF(P85&gt;=0.8,"Exclude","Round 2")))</f>
        <v/>
      </c>
      <c r="S85" s="57" t="inlineStr"/>
      <c r="T85" s="57" t="inlineStr"/>
    </row>
    <row r="86">
      <c r="A86" s="57" t="inlineStr">
        <is>
          <t>Transjugular liver biopsy (TJLB)</t>
        </is>
      </c>
      <c r="B86" s="57" t="inlineStr">
        <is>
          <t>Contrast/radiation as relevant</t>
        </is>
      </c>
      <c r="C86" s="57" t="inlineStr">
        <is>
          <t>Conditional / patient-specific</t>
        </is>
      </c>
      <c r="D86" s="57" t="inlineStr">
        <is>
          <t>Rates vary with patient severity, definitions and route</t>
        </is>
      </c>
      <c r="E86" s="57" t="inlineStr">
        <is>
          <t>[12] Neuberger et al. Guidelines on the use of liver biopsy in clinical practice from BSG, RCR and RCPath. 2020; DOI 10.1136/gutjnl-2020-321299; PMID 32467090</t>
        </is>
      </c>
      <c r="F86" s="59" t="inlineStr"/>
      <c r="G86" s="59" t="inlineStr"/>
      <c r="H86" s="59" t="inlineStr"/>
      <c r="I86" s="59" t="inlineStr"/>
      <c r="J86" s="59" t="inlineStr"/>
      <c r="K86" s="59" t="inlineStr"/>
      <c r="L86" s="59" t="inlineStr"/>
      <c r="M86" s="59" t="inlineStr"/>
      <c r="N86" s="57">
        <f>COUNT(F86:M86)</f>
        <v/>
      </c>
      <c r="O86" s="60">
        <f>IF(N86=0,"",COUNTIF(F86:M86,"&gt;=4")/N86)</f>
        <v/>
      </c>
      <c r="P86" s="60">
        <f>IF(N86=0,"",COUNTIF(F86:M86,"&lt;=2")/N86)</f>
        <v/>
      </c>
      <c r="Q86" s="57">
        <f>IF(N86=0,"",MEDIAN(F86:M86))</f>
        <v/>
      </c>
      <c r="R86" s="61">
        <f>IF(N86=0,"Not scored",IF(O86&gt;=0.8,"Include",IF(P86&gt;=0.8,"Exclude","Round 2")))</f>
        <v/>
      </c>
      <c r="S86" s="57" t="inlineStr"/>
      <c r="T86" s="57" t="inlineStr"/>
    </row>
    <row r="87">
      <c r="A87" s="57" t="inlineStr">
        <is>
          <t>Transjugular liver biopsy (TJLB)</t>
        </is>
      </c>
      <c r="B87" s="57" t="inlineStr">
        <is>
          <t>sedation if used</t>
        </is>
      </c>
      <c r="C87" s="57" t="inlineStr">
        <is>
          <t>Conditional / patient-specific</t>
        </is>
      </c>
      <c r="D87" s="57" t="inlineStr">
        <is>
          <t>Rates vary with patient severity, definitions and route</t>
        </is>
      </c>
      <c r="E87" s="57" t="inlineStr">
        <is>
          <t>[12] Neuberger et al. Guidelines on the use of liver biopsy in clinical practice from BSG, RCR and RCPath. 2020; DOI 10.1136/gutjnl-2020-321299; PMID 32467090</t>
        </is>
      </c>
      <c r="F87" s="59" t="inlineStr"/>
      <c r="G87" s="59" t="inlineStr"/>
      <c r="H87" s="59" t="inlineStr"/>
      <c r="I87" s="59" t="inlineStr"/>
      <c r="J87" s="59" t="inlineStr"/>
      <c r="K87" s="59" t="inlineStr"/>
      <c r="L87" s="59" t="inlineStr"/>
      <c r="M87" s="59" t="inlineStr"/>
      <c r="N87" s="57">
        <f>COUNT(F87:M87)</f>
        <v/>
      </c>
      <c r="O87" s="60">
        <f>IF(N87=0,"",COUNTIF(F87:M87,"&gt;=4")/N87)</f>
        <v/>
      </c>
      <c r="P87" s="60">
        <f>IF(N87=0,"",COUNTIF(F87:M87,"&lt;=2")/N87)</f>
        <v/>
      </c>
      <c r="Q87" s="57">
        <f>IF(N87=0,"",MEDIAN(F87:M87))</f>
        <v/>
      </c>
      <c r="R87" s="61">
        <f>IF(N87=0,"Not scored",IF(O87&gt;=0.8,"Include",IF(P87&gt;=0.8,"Exclude","Round 2")))</f>
        <v/>
      </c>
      <c r="S87" s="57" t="inlineStr"/>
      <c r="T87" s="57" t="inlineStr"/>
    </row>
    <row r="88">
      <c r="A88" s="57" t="inlineStr">
        <is>
          <t>Transjugular liver biopsy (TJLB)</t>
        </is>
      </c>
      <c r="B88" s="57" t="inlineStr">
        <is>
          <t>Liver disease severity, coagulopathy, route and biopsy indication</t>
        </is>
      </c>
      <c r="C88" s="57" t="inlineStr">
        <is>
          <t>Conditional / patient-specific</t>
        </is>
      </c>
      <c r="D88" s="57" t="inlineStr">
        <is>
          <t>Rates vary with patient severity, definitions and route</t>
        </is>
      </c>
      <c r="E88" s="57" t="inlineStr">
        <is>
          <t>[12] Neuberger et al. Guidelines on the use of liver biopsy in clinical practice from BSG, RCR and RCPath. 2020; DOI 10.1136/gutjnl-2020-321299; PMID 32467090</t>
        </is>
      </c>
      <c r="F88" s="59" t="inlineStr"/>
      <c r="G88" s="59" t="inlineStr"/>
      <c r="H88" s="59" t="inlineStr"/>
      <c r="I88" s="59" t="inlineStr"/>
      <c r="J88" s="59" t="inlineStr"/>
      <c r="K88" s="59" t="inlineStr"/>
      <c r="L88" s="59" t="inlineStr"/>
      <c r="M88" s="59" t="inlineStr"/>
      <c r="N88" s="57">
        <f>COUNT(F88:M88)</f>
        <v/>
      </c>
      <c r="O88" s="60">
        <f>IF(N88=0,"",COUNTIF(F88:M88,"&gt;=4")/N88)</f>
        <v/>
      </c>
      <c r="P88" s="60">
        <f>IF(N88=0,"",COUNTIF(F88:M88,"&lt;=2")/N88)</f>
        <v/>
      </c>
      <c r="Q88" s="57">
        <f>IF(N88=0,"",MEDIAN(F88:M88))</f>
        <v/>
      </c>
      <c r="R88" s="61">
        <f>IF(N88=0,"Not scored",IF(O88&gt;=0.8,"Include",IF(P88&gt;=0.8,"Exclude","Round 2")))</f>
        <v/>
      </c>
      <c r="S88" s="57" t="inlineStr"/>
      <c r="T88" s="57" t="inlineStr"/>
    </row>
    <row r="89">
      <c r="A89" s="57" t="inlineStr">
        <is>
          <t>Peripheral arterial angioplasty +/- stenting</t>
        </is>
      </c>
      <c r="B89" s="57" t="inlineStr">
        <is>
          <t>Access-site bruising/bleeding</t>
        </is>
      </c>
      <c r="C89" s="57" t="inlineStr">
        <is>
          <t>Core candidate</t>
        </is>
      </c>
      <c r="D89" s="57" t="inlineStr">
        <is>
          <t>For femoropopliteal procedures only: weighted vessel complication mean 4.3% (range 2.4–6.3%) after balloon angioplasty and 7.3% (0–17%) after stenting in cited 2014 SOP; heterogeneous historical data</t>
        </is>
      </c>
      <c r="E89" s="57" t="inlineStr">
        <is>
          <t>[13] Katsanos et al. Standards of Practice for Superficial Femoral and Popliteal Artery Angioplasty and Stenting. CIRSE. 2014</t>
        </is>
      </c>
      <c r="F89" s="59" t="inlineStr"/>
      <c r="G89" s="59" t="inlineStr"/>
      <c r="H89" s="59" t="inlineStr"/>
      <c r="I89" s="59" t="inlineStr"/>
      <c r="J89" s="59" t="inlineStr"/>
      <c r="K89" s="59" t="inlineStr"/>
      <c r="L89" s="59" t="inlineStr"/>
      <c r="M89" s="59" t="inlineStr"/>
      <c r="N89" s="57">
        <f>COUNT(F89:M89)</f>
        <v/>
      </c>
      <c r="O89" s="60">
        <f>IF(N89=0,"",COUNTIF(F89:M89,"&gt;=4")/N89)</f>
        <v/>
      </c>
      <c r="P89" s="60">
        <f>IF(N89=0,"",COUNTIF(F89:M89,"&lt;=2")/N89)</f>
        <v/>
      </c>
      <c r="Q89" s="57">
        <f>IF(N89=0,"",MEDIAN(F89:M89))</f>
        <v/>
      </c>
      <c r="R89" s="61">
        <f>IF(N89=0,"Not scored",IF(O89&gt;=0.8,"Include",IF(P89&gt;=0.8,"Exclude","Round 2")))</f>
        <v/>
      </c>
      <c r="S89" s="57" t="inlineStr"/>
      <c r="T89" s="57" t="inlineStr"/>
    </row>
    <row r="90">
      <c r="A90" s="57" t="inlineStr">
        <is>
          <t>Peripheral arterial angioplasty +/- stenting</t>
        </is>
      </c>
      <c r="B90" s="57" t="inlineStr">
        <is>
          <t>restenosis or recurrent symptoms</t>
        </is>
      </c>
      <c r="C90" s="57" t="inlineStr">
        <is>
          <t>Core candidate</t>
        </is>
      </c>
      <c r="D90" s="57" t="inlineStr">
        <is>
          <t>For femoropopliteal procedures only: weighted vessel complication mean 4.3% (range 2.4–6.3%) after balloon angioplasty and 7.3% (0–17%) after stenting in cited 2014 SOP; heterogeneous historical data</t>
        </is>
      </c>
      <c r="E90" s="57" t="inlineStr">
        <is>
          <t>[13] Katsanos et al. Standards of Practice for Superficial Femoral and Popliteal Artery Angioplasty and Stenting. CIRSE. 2014</t>
        </is>
      </c>
      <c r="F90" s="59" t="inlineStr"/>
      <c r="G90" s="59" t="inlineStr"/>
      <c r="H90" s="59" t="inlineStr"/>
      <c r="I90" s="59" t="inlineStr"/>
      <c r="J90" s="59" t="inlineStr"/>
      <c r="K90" s="59" t="inlineStr"/>
      <c r="L90" s="59" t="inlineStr"/>
      <c r="M90" s="59" t="inlineStr"/>
      <c r="N90" s="57">
        <f>COUNT(F90:M90)</f>
        <v/>
      </c>
      <c r="O90" s="60">
        <f>IF(N90=0,"",COUNTIF(F90:M90,"&gt;=4")/N90)</f>
        <v/>
      </c>
      <c r="P90" s="60">
        <f>IF(N90=0,"",COUNTIF(F90:M90,"&lt;=2")/N90)</f>
        <v/>
      </c>
      <c r="Q90" s="57">
        <f>IF(N90=0,"",MEDIAN(F90:M90))</f>
        <v/>
      </c>
      <c r="R90" s="61">
        <f>IF(N90=0,"Not scored",IF(O90&gt;=0.8,"Include",IF(P90&gt;=0.8,"Exclude","Round 2")))</f>
        <v/>
      </c>
      <c r="S90" s="57" t="inlineStr"/>
      <c r="T90" s="57" t="inlineStr"/>
    </row>
    <row r="91">
      <c r="A91" s="57" t="inlineStr">
        <is>
          <t>Peripheral arterial angioplasty +/- stenting</t>
        </is>
      </c>
      <c r="B91" s="57" t="inlineStr">
        <is>
          <t>Dissection</t>
        </is>
      </c>
      <c r="C91" s="57" t="inlineStr">
        <is>
          <t>Core candidate</t>
        </is>
      </c>
      <c r="D91" s="57" t="inlineStr">
        <is>
          <t>For femoropopliteal procedures only: weighted vessel complication mean 4.3% (range 2.4–6.3%) after balloon angioplasty and 7.3% (0–17%) after stenting in cited 2014 SOP; heterogeneous historical data</t>
        </is>
      </c>
      <c r="E91" s="57" t="inlineStr">
        <is>
          <t>[13] Katsanos et al. Standards of Practice for Superficial Femoral and Popliteal Artery Angioplasty and Stenting. CIRSE. 2014</t>
        </is>
      </c>
      <c r="F91" s="59" t="inlineStr"/>
      <c r="G91" s="59" t="inlineStr"/>
      <c r="H91" s="59" t="inlineStr"/>
      <c r="I91" s="59" t="inlineStr"/>
      <c r="J91" s="59" t="inlineStr"/>
      <c r="K91" s="59" t="inlineStr"/>
      <c r="L91" s="59" t="inlineStr"/>
      <c r="M91" s="59" t="inlineStr"/>
      <c r="N91" s="57">
        <f>COUNT(F91:M91)</f>
        <v/>
      </c>
      <c r="O91" s="60">
        <f>IF(N91=0,"",COUNTIF(F91:M91,"&gt;=4")/N91)</f>
        <v/>
      </c>
      <c r="P91" s="60">
        <f>IF(N91=0,"",COUNTIF(F91:M91,"&lt;=2")/N91)</f>
        <v/>
      </c>
      <c r="Q91" s="57">
        <f>IF(N91=0,"",MEDIAN(F91:M91))</f>
        <v/>
      </c>
      <c r="R91" s="61">
        <f>IF(N91=0,"Not scored",IF(O91&gt;=0.8,"Include",IF(P91&gt;=0.8,"Exclude","Round 2")))</f>
        <v/>
      </c>
      <c r="S91" s="57" t="inlineStr"/>
      <c r="T91" s="57" t="inlineStr"/>
    </row>
    <row r="92">
      <c r="A92" s="57" t="inlineStr">
        <is>
          <t>Peripheral arterial angioplasty +/- stenting</t>
        </is>
      </c>
      <c r="B92" s="57" t="inlineStr">
        <is>
          <t>distal embolisation</t>
        </is>
      </c>
      <c r="C92" s="57" t="inlineStr">
        <is>
          <t>Core candidate</t>
        </is>
      </c>
      <c r="D92" s="57" t="inlineStr">
        <is>
          <t>For femoropopliteal procedures only: weighted vessel complication mean 4.3% (range 2.4–6.3%) after balloon angioplasty and 7.3% (0–17%) after stenting in cited 2014 SOP; heterogeneous historical data</t>
        </is>
      </c>
      <c r="E92" s="57" t="inlineStr">
        <is>
          <t>[13] Katsanos et al. Standards of Practice for Superficial Femoral and Popliteal Artery Angioplasty and Stenting. CIRSE. 2014</t>
        </is>
      </c>
      <c r="F92" s="59" t="inlineStr"/>
      <c r="G92" s="59" t="inlineStr"/>
      <c r="H92" s="59" t="inlineStr"/>
      <c r="I92" s="59" t="inlineStr"/>
      <c r="J92" s="59" t="inlineStr"/>
      <c r="K92" s="59" t="inlineStr"/>
      <c r="L92" s="59" t="inlineStr"/>
      <c r="M92" s="59" t="inlineStr"/>
      <c r="N92" s="57">
        <f>COUNT(F92:M92)</f>
        <v/>
      </c>
      <c r="O92" s="60">
        <f>IF(N92=0,"",COUNTIF(F92:M92,"&gt;=4")/N92)</f>
        <v/>
      </c>
      <c r="P92" s="60">
        <f>IF(N92=0,"",COUNTIF(F92:M92,"&lt;=2")/N92)</f>
        <v/>
      </c>
      <c r="Q92" s="57">
        <f>IF(N92=0,"",MEDIAN(F92:M92))</f>
        <v/>
      </c>
      <c r="R92" s="61">
        <f>IF(N92=0,"Not scored",IF(O92&gt;=0.8,"Include",IF(P92&gt;=0.8,"Exclude","Round 2")))</f>
        <v/>
      </c>
      <c r="S92" s="57" t="inlineStr"/>
      <c r="T92" s="57" t="inlineStr"/>
    </row>
    <row r="93">
      <c r="A93" s="57" t="inlineStr">
        <is>
          <t>Peripheral arterial angioplasty +/- stenting</t>
        </is>
      </c>
      <c r="B93" s="57" t="inlineStr">
        <is>
          <t>vessel perforation/rupture</t>
        </is>
      </c>
      <c r="C93" s="57" t="inlineStr">
        <is>
          <t>Core candidate</t>
        </is>
      </c>
      <c r="D93" s="57" t="inlineStr">
        <is>
          <t>For femoropopliteal procedures only: weighted vessel complication mean 4.3% (range 2.4–6.3%) after balloon angioplasty and 7.3% (0–17%) after stenting in cited 2014 SOP; heterogeneous historical data</t>
        </is>
      </c>
      <c r="E93" s="57" t="inlineStr">
        <is>
          <t>[13] Katsanos et al. Standards of Practice for Superficial Femoral and Popliteal Artery Angioplasty and Stenting. CIRSE. 2014</t>
        </is>
      </c>
      <c r="F93" s="59" t="inlineStr"/>
      <c r="G93" s="59" t="inlineStr"/>
      <c r="H93" s="59" t="inlineStr"/>
      <c r="I93" s="59" t="inlineStr"/>
      <c r="J93" s="59" t="inlineStr"/>
      <c r="K93" s="59" t="inlineStr"/>
      <c r="L93" s="59" t="inlineStr"/>
      <c r="M93" s="59" t="inlineStr"/>
      <c r="N93" s="57">
        <f>COUNT(F93:M93)</f>
        <v/>
      </c>
      <c r="O93" s="60">
        <f>IF(N93=0,"",COUNTIF(F93:M93,"&gt;=4")/N93)</f>
        <v/>
      </c>
      <c r="P93" s="60">
        <f>IF(N93=0,"",COUNTIF(F93:M93,"&lt;=2")/N93)</f>
        <v/>
      </c>
      <c r="Q93" s="57">
        <f>IF(N93=0,"",MEDIAN(F93:M93))</f>
        <v/>
      </c>
      <c r="R93" s="61">
        <f>IF(N93=0,"Not scored",IF(O93&gt;=0.8,"Include",IF(P93&gt;=0.8,"Exclude","Round 2")))</f>
        <v/>
      </c>
      <c r="S93" s="57" t="inlineStr"/>
      <c r="T93" s="57" t="inlineStr"/>
    </row>
    <row r="94">
      <c r="A94" s="57" t="inlineStr">
        <is>
          <t>Peripheral arterial angioplasty +/- stenting</t>
        </is>
      </c>
      <c r="B94" s="57" t="inlineStr">
        <is>
          <t>acute thrombosis/occlusion</t>
        </is>
      </c>
      <c r="C94" s="57" t="inlineStr">
        <is>
          <t>Core candidate</t>
        </is>
      </c>
      <c r="D94" s="57" t="inlineStr">
        <is>
          <t>For femoropopliteal procedures only: weighted vessel complication mean 4.3% (range 2.4–6.3%) after balloon angioplasty and 7.3% (0–17%) after stenting in cited 2014 SOP; heterogeneous historical data</t>
        </is>
      </c>
      <c r="E94" s="57" t="inlineStr">
        <is>
          <t>[13] Katsanos et al. Standards of Practice for Superficial Femoral and Popliteal Artery Angioplasty and Stenting. CIRSE. 2014</t>
        </is>
      </c>
      <c r="F94" s="59" t="inlineStr"/>
      <c r="G94" s="59" t="inlineStr"/>
      <c r="H94" s="59" t="inlineStr"/>
      <c r="I94" s="59" t="inlineStr"/>
      <c r="J94" s="59" t="inlineStr"/>
      <c r="K94" s="59" t="inlineStr"/>
      <c r="L94" s="59" t="inlineStr"/>
      <c r="M94" s="59" t="inlineStr"/>
      <c r="N94" s="57">
        <f>COUNT(F94:M94)</f>
        <v/>
      </c>
      <c r="O94" s="60">
        <f>IF(N94=0,"",COUNTIF(F94:M94,"&gt;=4")/N94)</f>
        <v/>
      </c>
      <c r="P94" s="60">
        <f>IF(N94=0,"",COUNTIF(F94:M94,"&lt;=2")/N94)</f>
        <v/>
      </c>
      <c r="Q94" s="57">
        <f>IF(N94=0,"",MEDIAN(F94:M94))</f>
        <v/>
      </c>
      <c r="R94" s="61">
        <f>IF(N94=0,"Not scored",IF(O94&gt;=0.8,"Include",IF(P94&gt;=0.8,"Exclude","Round 2")))</f>
        <v/>
      </c>
      <c r="S94" s="57" t="inlineStr"/>
      <c r="T94" s="57" t="inlineStr"/>
    </row>
    <row r="95">
      <c r="A95" s="57" t="inlineStr">
        <is>
          <t>Peripheral arterial angioplasty +/- stenting</t>
        </is>
      </c>
      <c r="B95" s="57" t="inlineStr">
        <is>
          <t>Acute limb ischaemia, limb loss, reintervention</t>
        </is>
      </c>
      <c r="C95" s="57" t="inlineStr">
        <is>
          <t>Core candidate</t>
        </is>
      </c>
      <c r="D95" s="57" t="inlineStr">
        <is>
          <t>For femoropopliteal procedures only: weighted vessel complication mean 4.3% (range 2.4–6.3%) after balloon angioplasty and 7.3% (0–17%) after stenting in cited 2014 SOP; heterogeneous historical data</t>
        </is>
      </c>
      <c r="E95" s="57" t="inlineStr">
        <is>
          <t>[13] Katsanos et al. Standards of Practice for Superficial Femoral and Popliteal Artery Angioplasty and Stenting. CIRSE. 2014</t>
        </is>
      </c>
      <c r="F95" s="59" t="inlineStr"/>
      <c r="G95" s="59" t="inlineStr"/>
      <c r="H95" s="59" t="inlineStr"/>
      <c r="I95" s="59" t="inlineStr"/>
      <c r="J95" s="59" t="inlineStr"/>
      <c r="K95" s="59" t="inlineStr"/>
      <c r="L95" s="59" t="inlineStr"/>
      <c r="M95" s="59" t="inlineStr"/>
      <c r="N95" s="57">
        <f>COUNT(F95:M95)</f>
        <v/>
      </c>
      <c r="O95" s="60">
        <f>IF(N95=0,"",COUNTIF(F95:M95,"&gt;=4")/N95)</f>
        <v/>
      </c>
      <c r="P95" s="60">
        <f>IF(N95=0,"",COUNTIF(F95:M95,"&lt;=2")/N95)</f>
        <v/>
      </c>
      <c r="Q95" s="57">
        <f>IF(N95=0,"",MEDIAN(F95:M95))</f>
        <v/>
      </c>
      <c r="R95" s="61">
        <f>IF(N95=0,"Not scored",IF(O95&gt;=0.8,"Include",IF(P95&gt;=0.8,"Exclude","Round 2")))</f>
        <v/>
      </c>
      <c r="S95" s="57" t="inlineStr"/>
      <c r="T95" s="57" t="inlineStr"/>
    </row>
    <row r="96">
      <c r="A96" s="57" t="inlineStr">
        <is>
          <t>Peripheral arterial angioplasty +/- stenting</t>
        </is>
      </c>
      <c r="B96" s="57" t="inlineStr">
        <is>
          <t>Access bleeding/haematoma, pseudoaneurysm, AV fistula, arterial injury</t>
        </is>
      </c>
      <c r="C96" s="57" t="inlineStr">
        <is>
          <t>Core candidate</t>
        </is>
      </c>
      <c r="D96" s="57" t="inlineStr">
        <is>
          <t>For femoropopliteal procedures only: weighted vessel complication mean 4.3% (range 2.4–6.3%) after balloon angioplasty and 7.3% (0–17%) after stenting in cited 2014 SOP; heterogeneous historical data</t>
        </is>
      </c>
      <c r="E96" s="57" t="inlineStr">
        <is>
          <t>[13] Katsanos et al. Standards of Practice for Superficial Femoral and Popliteal Artery Angioplasty and Stenting. CIRSE. 2014</t>
        </is>
      </c>
      <c r="F96" s="59" t="inlineStr"/>
      <c r="G96" s="59" t="inlineStr"/>
      <c r="H96" s="59" t="inlineStr"/>
      <c r="I96" s="59" t="inlineStr"/>
      <c r="J96" s="59" t="inlineStr"/>
      <c r="K96" s="59" t="inlineStr"/>
      <c r="L96" s="59" t="inlineStr"/>
      <c r="M96" s="59" t="inlineStr"/>
      <c r="N96" s="57">
        <f>COUNT(F96:M96)</f>
        <v/>
      </c>
      <c r="O96" s="60">
        <f>IF(N96=0,"",COUNTIF(F96:M96,"&gt;=4")/N96)</f>
        <v/>
      </c>
      <c r="P96" s="60">
        <f>IF(N96=0,"",COUNTIF(F96:M96,"&lt;=2")/N96)</f>
        <v/>
      </c>
      <c r="Q96" s="57">
        <f>IF(N96=0,"",MEDIAN(F96:M96))</f>
        <v/>
      </c>
      <c r="R96" s="61">
        <f>IF(N96=0,"Not scored",IF(O96&gt;=0.8,"Include",IF(P96&gt;=0.8,"Exclude","Round 2")))</f>
        <v/>
      </c>
      <c r="S96" s="57" t="inlineStr"/>
      <c r="T96" s="57" t="inlineStr"/>
    </row>
    <row r="97">
      <c r="A97" s="57" t="inlineStr">
        <is>
          <t>Peripheral arterial angioplasty +/- stenting</t>
        </is>
      </c>
      <c r="B97" s="57" t="inlineStr">
        <is>
          <t>Contrast reaction/AKI</t>
        </is>
      </c>
      <c r="C97" s="57" t="inlineStr">
        <is>
          <t>Conditional / patient-specific</t>
        </is>
      </c>
      <c r="D97" s="57" t="inlineStr">
        <is>
          <t>For femoropopliteal procedures only: weighted vessel complication mean 4.3% (range 2.4–6.3%) after balloon angioplasty and 7.3% (0–17%) after stenting in cited 2014 SOP; heterogeneous historical data</t>
        </is>
      </c>
      <c r="E97" s="57" t="inlineStr">
        <is>
          <t>[13] Katsanos et al. Standards of Practice for Superficial Femoral and Popliteal Artery Angioplasty and Stenting. CIRSE. 2014</t>
        </is>
      </c>
      <c r="F97" s="59" t="inlineStr"/>
      <c r="G97" s="59" t="inlineStr"/>
      <c r="H97" s="59" t="inlineStr"/>
      <c r="I97" s="59" t="inlineStr"/>
      <c r="J97" s="59" t="inlineStr"/>
      <c r="K97" s="59" t="inlineStr"/>
      <c r="L97" s="59" t="inlineStr"/>
      <c r="M97" s="59" t="inlineStr"/>
      <c r="N97" s="57">
        <f>COUNT(F97:M97)</f>
        <v/>
      </c>
      <c r="O97" s="60">
        <f>IF(N97=0,"",COUNTIF(F97:M97,"&gt;=4")/N97)</f>
        <v/>
      </c>
      <c r="P97" s="60">
        <f>IF(N97=0,"",COUNTIF(F97:M97,"&lt;=2")/N97)</f>
        <v/>
      </c>
      <c r="Q97" s="57">
        <f>IF(N97=0,"",MEDIAN(F97:M97))</f>
        <v/>
      </c>
      <c r="R97" s="61">
        <f>IF(N97=0,"Not scored",IF(O97&gt;=0.8,"Include",IF(P97&gt;=0.8,"Exclude","Round 2")))</f>
        <v/>
      </c>
      <c r="S97" s="57" t="inlineStr"/>
      <c r="T97" s="57" t="inlineStr"/>
    </row>
    <row r="98">
      <c r="A98" s="57" t="inlineStr">
        <is>
          <t>Peripheral arterial angioplasty +/- stenting</t>
        </is>
      </c>
      <c r="B98" s="57" t="inlineStr">
        <is>
          <t>radiation</t>
        </is>
      </c>
      <c r="C98" s="57" t="inlineStr">
        <is>
          <t>Conditional / patient-specific</t>
        </is>
      </c>
      <c r="D98" s="57" t="inlineStr">
        <is>
          <t>For femoropopliteal procedures only: weighted vessel complication mean 4.3% (range 2.4–6.3%) after balloon angioplasty and 7.3% (0–17%) after stenting in cited 2014 SOP; heterogeneous historical data</t>
        </is>
      </c>
      <c r="E98" s="57" t="inlineStr">
        <is>
          <t>[13] Katsanos et al. Standards of Practice for Superficial Femoral and Popliteal Artery Angioplasty and Stenting. CIRSE. 2014</t>
        </is>
      </c>
      <c r="F98" s="59" t="inlineStr"/>
      <c r="G98" s="59" t="inlineStr"/>
      <c r="H98" s="59" t="inlineStr"/>
      <c r="I98" s="59" t="inlineStr"/>
      <c r="J98" s="59" t="inlineStr"/>
      <c r="K98" s="59" t="inlineStr"/>
      <c r="L98" s="59" t="inlineStr"/>
      <c r="M98" s="59" t="inlineStr"/>
      <c r="N98" s="57">
        <f>COUNT(F98:M98)</f>
        <v/>
      </c>
      <c r="O98" s="60">
        <f>IF(N98=0,"",COUNTIF(F98:M98,"&gt;=4")/N98)</f>
        <v/>
      </c>
      <c r="P98" s="60">
        <f>IF(N98=0,"",COUNTIF(F98:M98,"&lt;=2")/N98)</f>
        <v/>
      </c>
      <c r="Q98" s="57">
        <f>IF(N98=0,"",MEDIAN(F98:M98))</f>
        <v/>
      </c>
      <c r="R98" s="61">
        <f>IF(N98=0,"Not scored",IF(O98&gt;=0.8,"Include",IF(P98&gt;=0.8,"Exclude","Round 2")))</f>
        <v/>
      </c>
      <c r="S98" s="57" t="inlineStr"/>
      <c r="T98" s="57" t="inlineStr"/>
    </row>
    <row r="99">
      <c r="A99" s="57" t="inlineStr">
        <is>
          <t>Peripheral arterial angioplasty +/- stenting</t>
        </is>
      </c>
      <c r="B99" s="57" t="inlineStr">
        <is>
          <t>device-specific risk as applicable</t>
        </is>
      </c>
      <c r="C99" s="57" t="inlineStr">
        <is>
          <t>Conditional / patient-specific</t>
        </is>
      </c>
      <c r="D99" s="57" t="inlineStr">
        <is>
          <t>For femoropopliteal procedures only: weighted vessel complication mean 4.3% (range 2.4–6.3%) after balloon angioplasty and 7.3% (0–17%) after stenting in cited 2014 SOP; heterogeneous historical data</t>
        </is>
      </c>
      <c r="E99" s="57" t="inlineStr">
        <is>
          <t>[13] Katsanos et al. Standards of Practice for Superficial Femoral and Popliteal Artery Angioplasty and Stenting. CIRSE. 2014</t>
        </is>
      </c>
      <c r="F99" s="59" t="inlineStr"/>
      <c r="G99" s="59" t="inlineStr"/>
      <c r="H99" s="59" t="inlineStr"/>
      <c r="I99" s="59" t="inlineStr"/>
      <c r="J99" s="59" t="inlineStr"/>
      <c r="K99" s="59" t="inlineStr"/>
      <c r="L99" s="59" t="inlineStr"/>
      <c r="M99" s="59" t="inlineStr"/>
      <c r="N99" s="57">
        <f>COUNT(F99:M99)</f>
        <v/>
      </c>
      <c r="O99" s="60">
        <f>IF(N99=0,"",COUNTIF(F99:M99,"&gt;=4")/N99)</f>
        <v/>
      </c>
      <c r="P99" s="60">
        <f>IF(N99=0,"",COUNTIF(F99:M99,"&lt;=2")/N99)</f>
        <v/>
      </c>
      <c r="Q99" s="57">
        <f>IF(N99=0,"",MEDIAN(F99:M99))</f>
        <v/>
      </c>
      <c r="R99" s="61">
        <f>IF(N99=0,"Not scored",IF(O99&gt;=0.8,"Include",IF(P99&gt;=0.8,"Exclude","Round 2")))</f>
        <v/>
      </c>
      <c r="S99" s="57" t="inlineStr"/>
      <c r="T99" s="57" t="inlineStr"/>
    </row>
    <row r="100">
      <c r="A100" s="57" t="inlineStr">
        <is>
          <t>Peripheral arterial angioplasty +/- stenting</t>
        </is>
      </c>
      <c r="B100" s="57" t="inlineStr">
        <is>
          <t>Arterial territory, CLTI vs claudication, access, DCB/stent type, runoff</t>
        </is>
      </c>
      <c r="C100" s="57" t="inlineStr">
        <is>
          <t>Conditional / patient-specific</t>
        </is>
      </c>
      <c r="D100" s="57" t="inlineStr">
        <is>
          <t>For femoropopliteal procedures only: weighted vessel complication mean 4.3% (range 2.4–6.3%) after balloon angioplasty and 7.3% (0–17%) after stenting in cited 2014 SOP; heterogeneous historical data</t>
        </is>
      </c>
      <c r="E100" s="57" t="inlineStr">
        <is>
          <t>[13] Katsanos et al. Standards of Practice for Superficial Femoral and Popliteal Artery Angioplasty and Stenting. CIRSE. 2014</t>
        </is>
      </c>
      <c r="F100" s="59" t="inlineStr"/>
      <c r="G100" s="59" t="inlineStr"/>
      <c r="H100" s="59" t="inlineStr"/>
      <c r="I100" s="59" t="inlineStr"/>
      <c r="J100" s="59" t="inlineStr"/>
      <c r="K100" s="59" t="inlineStr"/>
      <c r="L100" s="59" t="inlineStr"/>
      <c r="M100" s="59" t="inlineStr"/>
      <c r="N100" s="57">
        <f>COUNT(F100:M100)</f>
        <v/>
      </c>
      <c r="O100" s="60">
        <f>IF(N100=0,"",COUNTIF(F100:M100,"&gt;=4")/N100)</f>
        <v/>
      </c>
      <c r="P100" s="60">
        <f>IF(N100=0,"",COUNTIF(F100:M100,"&lt;=2")/N100)</f>
        <v/>
      </c>
      <c r="Q100" s="57">
        <f>IF(N100=0,"",MEDIAN(F100:M100))</f>
        <v/>
      </c>
      <c r="R100" s="61">
        <f>IF(N100=0,"Not scored",IF(O100&gt;=0.8,"Include",IF(P100&gt;=0.8,"Exclude","Round 2")))</f>
        <v/>
      </c>
      <c r="S100" s="57" t="inlineStr"/>
      <c r="T100" s="57" t="inlineStr"/>
    </row>
    <row r="101">
      <c r="A101" s="57" t="inlineStr">
        <is>
          <t>Portal vein embolisation (PVE)</t>
        </is>
      </c>
      <c r="B101" s="57" t="inlineStr">
        <is>
          <t>Access/transhepatic pain</t>
        </is>
      </c>
      <c r="C101" s="57" t="inlineStr">
        <is>
          <t>Core candidate</t>
        </is>
      </c>
      <c r="D101" s="57" t="inlineStr">
        <is>
          <t>A systematic review cited in 2024 SOP reported 0.4% not proceeding to planned hepatectomy due to major complications; this is not a direct PVE complication rate</t>
        </is>
      </c>
      <c r="E101" s="57" t="inlineStr">
        <is>
          <t>[14] Bilhim et al. CIRSE Standards of Practice on Portal Vein Embolization and Double Vein Embolization/Liver Venous Deprivation. 2024; DOI 10.1007/s00270-024-03743-8; PMID 38884781</t>
        </is>
      </c>
      <c r="F101" s="59" t="inlineStr"/>
      <c r="G101" s="59" t="inlineStr"/>
      <c r="H101" s="59" t="inlineStr"/>
      <c r="I101" s="59" t="inlineStr"/>
      <c r="J101" s="59" t="inlineStr"/>
      <c r="K101" s="59" t="inlineStr"/>
      <c r="L101" s="59" t="inlineStr"/>
      <c r="M101" s="59" t="inlineStr"/>
      <c r="N101" s="57">
        <f>COUNT(F101:M101)</f>
        <v/>
      </c>
      <c r="O101" s="60">
        <f>IF(N101=0,"",COUNTIF(F101:M101,"&gt;=4")/N101)</f>
        <v/>
      </c>
      <c r="P101" s="60">
        <f>IF(N101=0,"",COUNTIF(F101:M101,"&lt;=2")/N101)</f>
        <v/>
      </c>
      <c r="Q101" s="57">
        <f>IF(N101=0,"",MEDIAN(F101:M101))</f>
        <v/>
      </c>
      <c r="R101" s="61">
        <f>IF(N101=0,"Not scored",IF(O101&gt;=0.8,"Include",IF(P101&gt;=0.8,"Exclude","Round 2")))</f>
        <v/>
      </c>
      <c r="S101" s="57" t="inlineStr"/>
      <c r="T101" s="57" t="inlineStr"/>
    </row>
    <row r="102">
      <c r="A102" s="57" t="inlineStr">
        <is>
          <t>Portal vein embolisation (PVE)</t>
        </is>
      </c>
      <c r="B102" s="57" t="inlineStr">
        <is>
          <t>failure to achieve planned hypertrophy</t>
        </is>
      </c>
      <c r="C102" s="57" t="inlineStr">
        <is>
          <t>Core candidate</t>
        </is>
      </c>
      <c r="D102" s="57" t="inlineStr">
        <is>
          <t>A systematic review cited in 2024 SOP reported 0.4% not proceeding to planned hepatectomy due to major complications; this is not a direct PVE complication rate</t>
        </is>
      </c>
      <c r="E102" s="57" t="inlineStr">
        <is>
          <t>[14] Bilhim et al. CIRSE Standards of Practice on Portal Vein Embolization and Double Vein Embolization/Liver Venous Deprivation. 2024; DOI 10.1007/s00270-024-03743-8; PMID 38884781</t>
        </is>
      </c>
      <c r="F102" s="59" t="inlineStr"/>
      <c r="G102" s="59" t="inlineStr"/>
      <c r="H102" s="59" t="inlineStr"/>
      <c r="I102" s="59" t="inlineStr"/>
      <c r="J102" s="59" t="inlineStr"/>
      <c r="K102" s="59" t="inlineStr"/>
      <c r="L102" s="59" t="inlineStr"/>
      <c r="M102" s="59" t="inlineStr"/>
      <c r="N102" s="57">
        <f>COUNT(F102:M102)</f>
        <v/>
      </c>
      <c r="O102" s="60">
        <f>IF(N102=0,"",COUNTIF(F102:M102,"&gt;=4")/N102)</f>
        <v/>
      </c>
      <c r="P102" s="60">
        <f>IF(N102=0,"",COUNTIF(F102:M102,"&lt;=2")/N102)</f>
        <v/>
      </c>
      <c r="Q102" s="57">
        <f>IF(N102=0,"",MEDIAN(F102:M102))</f>
        <v/>
      </c>
      <c r="R102" s="61">
        <f>IF(N102=0,"Not scored",IF(O102&gt;=0.8,"Include",IF(P102&gt;=0.8,"Exclude","Round 2")))</f>
        <v/>
      </c>
      <c r="S102" s="57" t="inlineStr"/>
      <c r="T102" s="57" t="inlineStr"/>
    </row>
    <row r="103">
      <c r="A103" s="57" t="inlineStr">
        <is>
          <t>Portal vein embolisation (PVE)</t>
        </is>
      </c>
      <c r="B103" s="57" t="inlineStr">
        <is>
          <t>Portal vein thrombosis/extension</t>
        </is>
      </c>
      <c r="C103" s="57" t="inlineStr">
        <is>
          <t>Core candidate</t>
        </is>
      </c>
      <c r="D103" s="57" t="inlineStr">
        <is>
          <t>A systematic review cited in 2024 SOP reported 0.4% not proceeding to planned hepatectomy due to major complications; this is not a direct PVE complication rate</t>
        </is>
      </c>
      <c r="E103" s="57" t="inlineStr">
        <is>
          <t>[14] Bilhim et al. CIRSE Standards of Practice on Portal Vein Embolization and Double Vein Embolization/Liver Venous Deprivation. 2024; DOI 10.1007/s00270-024-03743-8; PMID 38884781</t>
        </is>
      </c>
      <c r="F103" s="59" t="inlineStr"/>
      <c r="G103" s="59" t="inlineStr"/>
      <c r="H103" s="59" t="inlineStr"/>
      <c r="I103" s="59" t="inlineStr"/>
      <c r="J103" s="59" t="inlineStr"/>
      <c r="K103" s="59" t="inlineStr"/>
      <c r="L103" s="59" t="inlineStr"/>
      <c r="M103" s="59" t="inlineStr"/>
      <c r="N103" s="57">
        <f>COUNT(F103:M103)</f>
        <v/>
      </c>
      <c r="O103" s="60">
        <f>IF(N103=0,"",COUNTIF(F103:M103,"&gt;=4")/N103)</f>
        <v/>
      </c>
      <c r="P103" s="60">
        <f>IF(N103=0,"",COUNTIF(F103:M103,"&lt;=2")/N103)</f>
        <v/>
      </c>
      <c r="Q103" s="57">
        <f>IF(N103=0,"",MEDIAN(F103:M103))</f>
        <v/>
      </c>
      <c r="R103" s="61">
        <f>IF(N103=0,"Not scored",IF(O103&gt;=0.8,"Include",IF(P103&gt;=0.8,"Exclude","Round 2")))</f>
        <v/>
      </c>
      <c r="S103" s="57" t="inlineStr"/>
      <c r="T103" s="57" t="inlineStr"/>
    </row>
    <row r="104">
      <c r="A104" s="57" t="inlineStr">
        <is>
          <t>Portal vein embolisation (PVE)</t>
        </is>
      </c>
      <c r="B104" s="57" t="inlineStr">
        <is>
          <t>infection, cholangitis, abscess or sepsis</t>
        </is>
      </c>
      <c r="C104" s="57" t="inlineStr">
        <is>
          <t>Core candidate</t>
        </is>
      </c>
      <c r="D104" s="57" t="inlineStr">
        <is>
          <t>A systematic review cited in 2024 SOP reported 0.4% not proceeding to planned hepatectomy due to major complications; this is not a direct PVE complication rate</t>
        </is>
      </c>
      <c r="E104" s="57" t="inlineStr">
        <is>
          <t>[14] Bilhim et al. CIRSE Standards of Practice on Portal Vein Embolization and Double Vein Embolization/Liver Venous Deprivation. 2024; DOI 10.1007/s00270-024-03743-8; PMID 38884781</t>
        </is>
      </c>
      <c r="F104" s="59" t="inlineStr"/>
      <c r="G104" s="59" t="inlineStr"/>
      <c r="H104" s="59" t="inlineStr"/>
      <c r="I104" s="59" t="inlineStr"/>
      <c r="J104" s="59" t="inlineStr"/>
      <c r="K104" s="59" t="inlineStr"/>
      <c r="L104" s="59" t="inlineStr"/>
      <c r="M104" s="59" t="inlineStr"/>
      <c r="N104" s="57">
        <f>COUNT(F104:M104)</f>
        <v/>
      </c>
      <c r="O104" s="60">
        <f>IF(N104=0,"",COUNTIF(F104:M104,"&gt;=4")/N104)</f>
        <v/>
      </c>
      <c r="P104" s="60">
        <f>IF(N104=0,"",COUNTIF(F104:M104,"&lt;=2")/N104)</f>
        <v/>
      </c>
      <c r="Q104" s="57">
        <f>IF(N104=0,"",MEDIAN(F104:M104))</f>
        <v/>
      </c>
      <c r="R104" s="61">
        <f>IF(N104=0,"Not scored",IF(O104&gt;=0.8,"Include",IF(P104&gt;=0.8,"Exclude","Round 2")))</f>
        <v/>
      </c>
      <c r="S104" s="57" t="inlineStr"/>
      <c r="T104" s="57" t="inlineStr"/>
    </row>
    <row r="105">
      <c r="A105" s="57" t="inlineStr">
        <is>
          <t>Portal vein embolisation (PVE)</t>
        </is>
      </c>
      <c r="B105" s="57" t="inlineStr">
        <is>
          <t>Non-target embolisation</t>
        </is>
      </c>
      <c r="C105" s="57" t="inlineStr">
        <is>
          <t>Core candidate</t>
        </is>
      </c>
      <c r="D105" s="57" t="inlineStr">
        <is>
          <t>A systematic review cited in 2024 SOP reported 0.4% not proceeding to planned hepatectomy due to major complications; this is not a direct PVE complication rate</t>
        </is>
      </c>
      <c r="E105" s="57" t="inlineStr">
        <is>
          <t>[14] Bilhim et al. CIRSE Standards of Practice on Portal Vein Embolization and Double Vein Embolization/Liver Venous Deprivation. 2024; DOI 10.1007/s00270-024-03743-8; PMID 38884781</t>
        </is>
      </c>
      <c r="F105" s="59" t="inlineStr"/>
      <c r="G105" s="59" t="inlineStr"/>
      <c r="H105" s="59" t="inlineStr"/>
      <c r="I105" s="59" t="inlineStr"/>
      <c r="J105" s="59" t="inlineStr"/>
      <c r="K105" s="59" t="inlineStr"/>
      <c r="L105" s="59" t="inlineStr"/>
      <c r="M105" s="59" t="inlineStr"/>
      <c r="N105" s="57">
        <f>COUNT(F105:M105)</f>
        <v/>
      </c>
      <c r="O105" s="60">
        <f>IF(N105=0,"",COUNTIF(F105:M105,"&gt;=4")/N105)</f>
        <v/>
      </c>
      <c r="P105" s="60">
        <f>IF(N105=0,"",COUNTIF(F105:M105,"&lt;=2")/N105)</f>
        <v/>
      </c>
      <c r="Q105" s="57">
        <f>IF(N105=0,"",MEDIAN(F105:M105))</f>
        <v/>
      </c>
      <c r="R105" s="61">
        <f>IF(N105=0,"Not scored",IF(O105&gt;=0.8,"Include",IF(P105&gt;=0.8,"Exclude","Round 2")))</f>
        <v/>
      </c>
      <c r="S105" s="57" t="inlineStr"/>
      <c r="T105" s="57" t="inlineStr"/>
    </row>
    <row r="106">
      <c r="A106" s="57" t="inlineStr">
        <is>
          <t>Portal vein embolisation (PVE)</t>
        </is>
      </c>
      <c r="B106" s="57" t="inlineStr">
        <is>
          <t>liver failure after subsequent surgery</t>
        </is>
      </c>
      <c r="C106" s="57" t="inlineStr">
        <is>
          <t>Core candidate</t>
        </is>
      </c>
      <c r="D106" s="57" t="inlineStr">
        <is>
          <t>A systematic review cited in 2024 SOP reported 0.4% not proceeding to planned hepatectomy due to major complications; this is not a direct PVE complication rate</t>
        </is>
      </c>
      <c r="E106" s="57" t="inlineStr">
        <is>
          <t>[14] Bilhim et al. CIRSE Standards of Practice on Portal Vein Embolization and Double Vein Embolization/Liver Venous Deprivation. 2024; DOI 10.1007/s00270-024-03743-8; PMID 38884781</t>
        </is>
      </c>
      <c r="F106" s="59" t="inlineStr"/>
      <c r="G106" s="59" t="inlineStr"/>
      <c r="H106" s="59" t="inlineStr"/>
      <c r="I106" s="59" t="inlineStr"/>
      <c r="J106" s="59" t="inlineStr"/>
      <c r="K106" s="59" t="inlineStr"/>
      <c r="L106" s="59" t="inlineStr"/>
      <c r="M106" s="59" t="inlineStr"/>
      <c r="N106" s="57">
        <f>COUNT(F106:M106)</f>
        <v/>
      </c>
      <c r="O106" s="60">
        <f>IF(N106=0,"",COUNTIF(F106:M106,"&gt;=4")/N106)</f>
        <v/>
      </c>
      <c r="P106" s="60">
        <f>IF(N106=0,"",COUNTIF(F106:M106,"&lt;=2")/N106)</f>
        <v/>
      </c>
      <c r="Q106" s="57">
        <f>IF(N106=0,"",MEDIAN(F106:M106))</f>
        <v/>
      </c>
      <c r="R106" s="61">
        <f>IF(N106=0,"Not scored",IF(O106&gt;=0.8,"Include",IF(P106&gt;=0.8,"Exclude","Round 2")))</f>
        <v/>
      </c>
      <c r="S106" s="57" t="inlineStr"/>
      <c r="T106" s="57" t="inlineStr"/>
    </row>
    <row r="107">
      <c r="A107" s="57" t="inlineStr">
        <is>
          <t>Portal vein embolisation (PVE)</t>
        </is>
      </c>
      <c r="B107" s="57" t="inlineStr">
        <is>
          <t>unable to proceed to hepatectomy</t>
        </is>
      </c>
      <c r="C107" s="57" t="inlineStr">
        <is>
          <t>Core candidate</t>
        </is>
      </c>
      <c r="D107" s="57" t="inlineStr">
        <is>
          <t>A systematic review cited in 2024 SOP reported 0.4% not proceeding to planned hepatectomy due to major complications; this is not a direct PVE complication rate</t>
        </is>
      </c>
      <c r="E107" s="57" t="inlineStr">
        <is>
          <t>[14] Bilhim et al. CIRSE Standards of Practice on Portal Vein Embolization and Double Vein Embolization/Liver Venous Deprivation. 2024; DOI 10.1007/s00270-024-03743-8; PMID 38884781</t>
        </is>
      </c>
      <c r="F107" s="59" t="inlineStr"/>
      <c r="G107" s="59" t="inlineStr"/>
      <c r="H107" s="59" t="inlineStr"/>
      <c r="I107" s="59" t="inlineStr"/>
      <c r="J107" s="59" t="inlineStr"/>
      <c r="K107" s="59" t="inlineStr"/>
      <c r="L107" s="59" t="inlineStr"/>
      <c r="M107" s="59" t="inlineStr"/>
      <c r="N107" s="57">
        <f>COUNT(F107:M107)</f>
        <v/>
      </c>
      <c r="O107" s="60">
        <f>IF(N107=0,"",COUNTIF(F107:M107,"&gt;=4")/N107)</f>
        <v/>
      </c>
      <c r="P107" s="60">
        <f>IF(N107=0,"",COUNTIF(F107:M107,"&lt;=2")/N107)</f>
        <v/>
      </c>
      <c r="Q107" s="57">
        <f>IF(N107=0,"",MEDIAN(F107:M107))</f>
        <v/>
      </c>
      <c r="R107" s="61">
        <f>IF(N107=0,"Not scored",IF(O107&gt;=0.8,"Include",IF(P107&gt;=0.8,"Exclude","Round 2")))</f>
        <v/>
      </c>
      <c r="S107" s="57" t="inlineStr"/>
      <c r="T107" s="57" t="inlineStr"/>
    </row>
    <row r="108">
      <c r="A108" s="57" t="inlineStr">
        <is>
          <t>Portal vein embolisation (PVE)</t>
        </is>
      </c>
      <c r="B108" s="57" t="inlineStr">
        <is>
          <t>Transhepatic puncture bleeding</t>
        </is>
      </c>
      <c r="C108" s="57" t="inlineStr">
        <is>
          <t>Core candidate</t>
        </is>
      </c>
      <c r="D108" s="57" t="inlineStr">
        <is>
          <t>A systematic review cited in 2024 SOP reported 0.4% not proceeding to planned hepatectomy due to major complications; this is not a direct PVE complication rate</t>
        </is>
      </c>
      <c r="E108" s="57" t="inlineStr">
        <is>
          <t>[14] Bilhim et al. CIRSE Standards of Practice on Portal Vein Embolization and Double Vein Embolization/Liver Venous Deprivation. 2024; DOI 10.1007/s00270-024-03743-8; PMID 38884781</t>
        </is>
      </c>
      <c r="F108" s="59" t="inlineStr"/>
      <c r="G108" s="59" t="inlineStr"/>
      <c r="H108" s="59" t="inlineStr"/>
      <c r="I108" s="59" t="inlineStr"/>
      <c r="J108" s="59" t="inlineStr"/>
      <c r="K108" s="59" t="inlineStr"/>
      <c r="L108" s="59" t="inlineStr"/>
      <c r="M108" s="59" t="inlineStr"/>
      <c r="N108" s="57">
        <f>COUNT(F108:M108)</f>
        <v/>
      </c>
      <c r="O108" s="60">
        <f>IF(N108=0,"",COUNTIF(F108:M108,"&gt;=4")/N108)</f>
        <v/>
      </c>
      <c r="P108" s="60">
        <f>IF(N108=0,"",COUNTIF(F108:M108,"&lt;=2")/N108)</f>
        <v/>
      </c>
      <c r="Q108" s="57">
        <f>IF(N108=0,"",MEDIAN(F108:M108))</f>
        <v/>
      </c>
      <c r="R108" s="61">
        <f>IF(N108=0,"Not scored",IF(O108&gt;=0.8,"Include",IF(P108&gt;=0.8,"Exclude","Round 2")))</f>
        <v/>
      </c>
      <c r="S108" s="57" t="inlineStr"/>
      <c r="T108" s="57" t="inlineStr"/>
    </row>
    <row r="109">
      <c r="A109" s="57" t="inlineStr">
        <is>
          <t>Portal vein embolisation (PVE)</t>
        </is>
      </c>
      <c r="B109" s="57" t="inlineStr">
        <is>
          <t>Contrast reaction/AKI</t>
        </is>
      </c>
      <c r="C109" s="57" t="inlineStr">
        <is>
          <t>Conditional / patient-specific</t>
        </is>
      </c>
      <c r="D109" s="57" t="inlineStr">
        <is>
          <t>A systematic review cited in 2024 SOP reported 0.4% not proceeding to planned hepatectomy due to major complications; this is not a direct PVE complication rate</t>
        </is>
      </c>
      <c r="E109" s="57" t="inlineStr">
        <is>
          <t>[14] Bilhim et al. CIRSE Standards of Practice on Portal Vein Embolization and Double Vein Embolization/Liver Venous Deprivation. 2024; DOI 10.1007/s00270-024-03743-8; PMID 38884781</t>
        </is>
      </c>
      <c r="F109" s="59" t="inlineStr"/>
      <c r="G109" s="59" t="inlineStr"/>
      <c r="H109" s="59" t="inlineStr"/>
      <c r="I109" s="59" t="inlineStr"/>
      <c r="J109" s="59" t="inlineStr"/>
      <c r="K109" s="59" t="inlineStr"/>
      <c r="L109" s="59" t="inlineStr"/>
      <c r="M109" s="59" t="inlineStr"/>
      <c r="N109" s="57">
        <f>COUNT(F109:M109)</f>
        <v/>
      </c>
      <c r="O109" s="60">
        <f>IF(N109=0,"",COUNTIF(F109:M109,"&gt;=4")/N109)</f>
        <v/>
      </c>
      <c r="P109" s="60">
        <f>IF(N109=0,"",COUNTIF(F109:M109,"&lt;=2")/N109)</f>
        <v/>
      </c>
      <c r="Q109" s="57">
        <f>IF(N109=0,"",MEDIAN(F109:M109))</f>
        <v/>
      </c>
      <c r="R109" s="61">
        <f>IF(N109=0,"Not scored",IF(O109&gt;=0.8,"Include",IF(P109&gt;=0.8,"Exclude","Round 2")))</f>
        <v/>
      </c>
      <c r="S109" s="57" t="inlineStr"/>
      <c r="T109" s="57" t="inlineStr"/>
    </row>
    <row r="110">
      <c r="A110" s="57" t="inlineStr">
        <is>
          <t>Portal vein embolisation (PVE)</t>
        </is>
      </c>
      <c r="B110" s="57" t="inlineStr">
        <is>
          <t>radiation exposure</t>
        </is>
      </c>
      <c r="C110" s="57" t="inlineStr">
        <is>
          <t>Conditional / patient-specific</t>
        </is>
      </c>
      <c r="D110" s="57" t="inlineStr">
        <is>
          <t>A systematic review cited in 2024 SOP reported 0.4% not proceeding to planned hepatectomy due to major complications; this is not a direct PVE complication rate</t>
        </is>
      </c>
      <c r="E110" s="57" t="inlineStr">
        <is>
          <t>[14] Bilhim et al. CIRSE Standards of Practice on Portal Vein Embolization and Double Vein Embolization/Liver Venous Deprivation. 2024; DOI 10.1007/s00270-024-03743-8; PMID 38884781</t>
        </is>
      </c>
      <c r="F110" s="59" t="inlineStr"/>
      <c r="G110" s="59" t="inlineStr"/>
      <c r="H110" s="59" t="inlineStr"/>
      <c r="I110" s="59" t="inlineStr"/>
      <c r="J110" s="59" t="inlineStr"/>
      <c r="K110" s="59" t="inlineStr"/>
      <c r="L110" s="59" t="inlineStr"/>
      <c r="M110" s="59" t="inlineStr"/>
      <c r="N110" s="57">
        <f>COUNT(F110:M110)</f>
        <v/>
      </c>
      <c r="O110" s="60">
        <f>IF(N110=0,"",COUNTIF(F110:M110,"&gt;=4")/N110)</f>
        <v/>
      </c>
      <c r="P110" s="60">
        <f>IF(N110=0,"",COUNTIF(F110:M110,"&lt;=2")/N110)</f>
        <v/>
      </c>
      <c r="Q110" s="57">
        <f>IF(N110=0,"",MEDIAN(F110:M110))</f>
        <v/>
      </c>
      <c r="R110" s="61">
        <f>IF(N110=0,"Not scored",IF(O110&gt;=0.8,"Include",IF(P110&gt;=0.8,"Exclude","Round 2")))</f>
        <v/>
      </c>
      <c r="S110" s="57" t="inlineStr"/>
      <c r="T110" s="57" t="inlineStr"/>
    </row>
    <row r="111">
      <c r="A111" s="57" t="inlineStr">
        <is>
          <t>Portal vein embolisation (PVE)</t>
        </is>
      </c>
      <c r="B111" s="57" t="inlineStr">
        <is>
          <t>PVE vs LVD/double-vein technique, embolic agent, liver status and surgical plan</t>
        </is>
      </c>
      <c r="C111" s="57" t="inlineStr">
        <is>
          <t>Conditional / patient-specific</t>
        </is>
      </c>
      <c r="D111" s="57" t="inlineStr">
        <is>
          <t>A systematic review cited in 2024 SOP reported 0.4% not proceeding to planned hepatectomy due to major complications; this is not a direct PVE complication rate</t>
        </is>
      </c>
      <c r="E111" s="57" t="inlineStr">
        <is>
          <t>[14] Bilhim et al. CIRSE Standards of Practice on Portal Vein Embolization and Double Vein Embolization/Liver Venous Deprivation. 2024; DOI 10.1007/s00270-024-03743-8; PMID 38884781</t>
        </is>
      </c>
      <c r="F111" s="59" t="inlineStr"/>
      <c r="G111" s="59" t="inlineStr"/>
      <c r="H111" s="59" t="inlineStr"/>
      <c r="I111" s="59" t="inlineStr"/>
      <c r="J111" s="59" t="inlineStr"/>
      <c r="K111" s="59" t="inlineStr"/>
      <c r="L111" s="59" t="inlineStr"/>
      <c r="M111" s="59" t="inlineStr"/>
      <c r="N111" s="57">
        <f>COUNT(F111:M111)</f>
        <v/>
      </c>
      <c r="O111" s="60">
        <f>IF(N111=0,"",COUNTIF(F111:M111,"&gt;=4")/N111)</f>
        <v/>
      </c>
      <c r="P111" s="60">
        <f>IF(N111=0,"",COUNTIF(F111:M111,"&lt;=2")/N111)</f>
        <v/>
      </c>
      <c r="Q111" s="57">
        <f>IF(N111=0,"",MEDIAN(F111:M111))</f>
        <v/>
      </c>
      <c r="R111" s="61">
        <f>IF(N111=0,"Not scored",IF(O111&gt;=0.8,"Include",IF(P111&gt;=0.8,"Exclude","Round 2")))</f>
        <v/>
      </c>
      <c r="S111" s="57" t="inlineStr"/>
      <c r="T111" s="57" t="inlineStr"/>
    </row>
    <row r="112">
      <c r="A112" s="57" t="inlineStr">
        <is>
          <t>Prostatic artery embolisation (PAE)</t>
        </is>
      </c>
      <c r="B112" s="57" t="inlineStr">
        <is>
          <t>Transient dysuria, frequency/urgency, haematuria, rectal bleeding or post-embolisation symptoms</t>
        </is>
      </c>
      <c r="C112" s="57" t="inlineStr">
        <is>
          <t>Core candidate</t>
        </is>
      </c>
      <c r="D112" s="57" t="inlineStr">
        <is>
          <t>Rates vary by definition and technique; no universal rate supplied</t>
        </is>
      </c>
      <c r="E112" s="57" t="inlineStr">
        <is>
          <t>[15] SIR Quality Improvement Guidelines for Prostatic Artery Embolization. 2020; exact final record/page requires verification. [16] Cornelis et al. CIRSE Standards of Practice on Prostatic Artery Embolisation. 2020 (online 2019); DOI 10.1007/s00270-019-02379-3; PMID 31792588</t>
        </is>
      </c>
      <c r="F112" s="59" t="inlineStr"/>
      <c r="G112" s="59" t="inlineStr"/>
      <c r="H112" s="59" t="inlineStr"/>
      <c r="I112" s="59" t="inlineStr"/>
      <c r="J112" s="59" t="inlineStr"/>
      <c r="K112" s="59" t="inlineStr"/>
      <c r="L112" s="59" t="inlineStr"/>
      <c r="M112" s="59" t="inlineStr"/>
      <c r="N112" s="57">
        <f>COUNT(F112:M112)</f>
        <v/>
      </c>
      <c r="O112" s="60">
        <f>IF(N112=0,"",COUNTIF(F112:M112,"&gt;=4")/N112)</f>
        <v/>
      </c>
      <c r="P112" s="60">
        <f>IF(N112=0,"",COUNTIF(F112:M112,"&lt;=2")/N112)</f>
        <v/>
      </c>
      <c r="Q112" s="57">
        <f>IF(N112=0,"",MEDIAN(F112:M112))</f>
        <v/>
      </c>
      <c r="R112" s="61">
        <f>IF(N112=0,"Not scored",IF(O112&gt;=0.8,"Include",IF(P112&gt;=0.8,"Exclude","Round 2")))</f>
        <v/>
      </c>
      <c r="S112" s="57" t="inlineStr"/>
      <c r="T112" s="57" t="inlineStr"/>
    </row>
    <row r="113">
      <c r="A113" s="57" t="inlineStr">
        <is>
          <t>Prostatic artery embolisation (PAE)</t>
        </is>
      </c>
      <c r="B113" s="57" t="inlineStr">
        <is>
          <t>UTI/retention</t>
        </is>
      </c>
      <c r="C113" s="57" t="inlineStr">
        <is>
          <t>Core candidate</t>
        </is>
      </c>
      <c r="D113" s="57" t="inlineStr">
        <is>
          <t>Rates vary by definition and technique; no universal rate supplied</t>
        </is>
      </c>
      <c r="E113" s="57" t="inlineStr">
        <is>
          <t>[15] SIR Quality Improvement Guidelines for Prostatic Artery Embolization. 2020; exact final record/page requires verification. [16] Cornelis et al. CIRSE Standards of Practice on Prostatic Artery Embolisation. 2020 (online 2019); DOI 10.1007/s00270-019-02379-3; PMID 31792588</t>
        </is>
      </c>
      <c r="F113" s="59" t="inlineStr"/>
      <c r="G113" s="59" t="inlineStr"/>
      <c r="H113" s="59" t="inlineStr"/>
      <c r="I113" s="59" t="inlineStr"/>
      <c r="J113" s="59" t="inlineStr"/>
      <c r="K113" s="59" t="inlineStr"/>
      <c r="L113" s="59" t="inlineStr"/>
      <c r="M113" s="59" t="inlineStr"/>
      <c r="N113" s="57">
        <f>COUNT(F113:M113)</f>
        <v/>
      </c>
      <c r="O113" s="60">
        <f>IF(N113=0,"",COUNTIF(F113:M113,"&gt;=4")/N113)</f>
        <v/>
      </c>
      <c r="P113" s="60">
        <f>IF(N113=0,"",COUNTIF(F113:M113,"&lt;=2")/N113)</f>
        <v/>
      </c>
      <c r="Q113" s="57">
        <f>IF(N113=0,"",MEDIAN(F113:M113))</f>
        <v/>
      </c>
      <c r="R113" s="61">
        <f>IF(N113=0,"Not scored",IF(O113&gt;=0.8,"Include",IF(P113&gt;=0.8,"Exclude","Round 2")))</f>
        <v/>
      </c>
      <c r="S113" s="57" t="inlineStr"/>
      <c r="T113" s="57" t="inlineStr"/>
    </row>
    <row r="114">
      <c r="A114" s="57" t="inlineStr">
        <is>
          <t>Prostatic artery embolisation (PAE)</t>
        </is>
      </c>
      <c r="B114" s="57" t="inlineStr">
        <is>
          <t>persistent LUTS or treatment failure</t>
        </is>
      </c>
      <c r="C114" s="57" t="inlineStr">
        <is>
          <t>Core candidate</t>
        </is>
      </c>
      <c r="D114" s="57" t="inlineStr">
        <is>
          <t>Rates vary by definition and technique; no universal rate supplied</t>
        </is>
      </c>
      <c r="E114" s="57" t="inlineStr">
        <is>
          <t>[15] SIR Quality Improvement Guidelines for Prostatic Artery Embolization. 2020; exact final record/page requires verification. [16] Cornelis et al. CIRSE Standards of Practice on Prostatic Artery Embolisation. 2020 (online 2019); DOI 10.1007/s00270-019-02379-3; PMID 31792588</t>
        </is>
      </c>
      <c r="F114" s="59" t="inlineStr"/>
      <c r="G114" s="59" t="inlineStr"/>
      <c r="H114" s="59" t="inlineStr"/>
      <c r="I114" s="59" t="inlineStr"/>
      <c r="J114" s="59" t="inlineStr"/>
      <c r="K114" s="59" t="inlineStr"/>
      <c r="L114" s="59" t="inlineStr"/>
      <c r="M114" s="59" t="inlineStr"/>
      <c r="N114" s="57">
        <f>COUNT(F114:M114)</f>
        <v/>
      </c>
      <c r="O114" s="60">
        <f>IF(N114=0,"",COUNTIF(F114:M114,"&gt;=4")/N114)</f>
        <v/>
      </c>
      <c r="P114" s="60">
        <f>IF(N114=0,"",COUNTIF(F114:M114,"&lt;=2")/N114)</f>
        <v/>
      </c>
      <c r="Q114" s="57">
        <f>IF(N114=0,"",MEDIAN(F114:M114))</f>
        <v/>
      </c>
      <c r="R114" s="61">
        <f>IF(N114=0,"Not scored",IF(O114&gt;=0.8,"Include",IF(P114&gt;=0.8,"Exclude","Round 2")))</f>
        <v/>
      </c>
      <c r="S114" s="57" t="inlineStr"/>
      <c r="T114" s="57" t="inlineStr"/>
    </row>
    <row r="115">
      <c r="A115" s="57" t="inlineStr">
        <is>
          <t>Prostatic artery embolisation (PAE)</t>
        </is>
      </c>
      <c r="B115" s="57" t="inlineStr">
        <is>
          <t>repeat intervention</t>
        </is>
      </c>
      <c r="C115" s="57" t="inlineStr">
        <is>
          <t>Core candidate</t>
        </is>
      </c>
      <c r="D115" s="57" t="inlineStr">
        <is>
          <t>Rates vary by definition and technique; no universal rate supplied</t>
        </is>
      </c>
      <c r="E115" s="57" t="inlineStr">
        <is>
          <t>[15] SIR Quality Improvement Guidelines for Prostatic Artery Embolization. 2020; exact final record/page requires verification. [16] Cornelis et al. CIRSE Standards of Practice on Prostatic Artery Embolisation. 2020 (online 2019); DOI 10.1007/s00270-019-02379-3; PMID 31792588</t>
        </is>
      </c>
      <c r="F115" s="59" t="inlineStr"/>
      <c r="G115" s="59" t="inlineStr"/>
      <c r="H115" s="59" t="inlineStr"/>
      <c r="I115" s="59" t="inlineStr"/>
      <c r="J115" s="59" t="inlineStr"/>
      <c r="K115" s="59" t="inlineStr"/>
      <c r="L115" s="59" t="inlineStr"/>
      <c r="M115" s="59" t="inlineStr"/>
      <c r="N115" s="57">
        <f>COUNT(F115:M115)</f>
        <v/>
      </c>
      <c r="O115" s="60">
        <f>IF(N115=0,"",COUNTIF(F115:M115,"&gt;=4")/N115)</f>
        <v/>
      </c>
      <c r="P115" s="60">
        <f>IF(N115=0,"",COUNTIF(F115:M115,"&lt;=2")/N115)</f>
        <v/>
      </c>
      <c r="Q115" s="57">
        <f>IF(N115=0,"",MEDIAN(F115:M115))</f>
        <v/>
      </c>
      <c r="R115" s="61">
        <f>IF(N115=0,"Not scored",IF(O115&gt;=0.8,"Include",IF(P115&gt;=0.8,"Exclude","Round 2")))</f>
        <v/>
      </c>
      <c r="S115" s="57" t="inlineStr"/>
      <c r="T115" s="57" t="inlineStr"/>
    </row>
    <row r="116">
      <c r="A116" s="57" t="inlineStr">
        <is>
          <t>Prostatic artery embolisation (PAE)</t>
        </is>
      </c>
      <c r="B116" s="57" t="inlineStr">
        <is>
          <t>Non-target pelvic ischaemia causing bladder, rectal or penile injury/ulceration/necrosis</t>
        </is>
      </c>
      <c r="C116" s="57" t="inlineStr">
        <is>
          <t>Core candidate</t>
        </is>
      </c>
      <c r="D116" s="57" t="inlineStr">
        <is>
          <t>Rates vary by definition and technique; no universal rate supplied</t>
        </is>
      </c>
      <c r="E116" s="57" t="inlineStr">
        <is>
          <t>[15] SIR Quality Improvement Guidelines for Prostatic Artery Embolization. 2020; exact final record/page requires verification. [16] Cornelis et al. CIRSE Standards of Practice on Prostatic Artery Embolisation. 2020 (online 2019); DOI 10.1007/s00270-019-02379-3; PMID 31792588</t>
        </is>
      </c>
      <c r="F116" s="59" t="inlineStr"/>
      <c r="G116" s="59" t="inlineStr"/>
      <c r="H116" s="59" t="inlineStr"/>
      <c r="I116" s="59" t="inlineStr"/>
      <c r="J116" s="59" t="inlineStr"/>
      <c r="K116" s="59" t="inlineStr"/>
      <c r="L116" s="59" t="inlineStr"/>
      <c r="M116" s="59" t="inlineStr"/>
      <c r="N116" s="57">
        <f>COUNT(F116:M116)</f>
        <v/>
      </c>
      <c r="O116" s="60">
        <f>IF(N116=0,"",COUNTIF(F116:M116,"&gt;=4")/N116)</f>
        <v/>
      </c>
      <c r="P116" s="60">
        <f>IF(N116=0,"",COUNTIF(F116:M116,"&lt;=2")/N116)</f>
        <v/>
      </c>
      <c r="Q116" s="57">
        <f>IF(N116=0,"",MEDIAN(F116:M116))</f>
        <v/>
      </c>
      <c r="R116" s="61">
        <f>IF(N116=0,"Not scored",IF(O116&gt;=0.8,"Include",IF(P116&gt;=0.8,"Exclude","Round 2")))</f>
        <v/>
      </c>
      <c r="S116" s="57" t="inlineStr"/>
      <c r="T116" s="57" t="inlineStr"/>
    </row>
    <row r="117">
      <c r="A117" s="57" t="inlineStr">
        <is>
          <t>Prostatic artery embolisation (PAE)</t>
        </is>
      </c>
      <c r="B117" s="57" t="inlineStr">
        <is>
          <t>sexual dysfunction where material</t>
        </is>
      </c>
      <c r="C117" s="57" t="inlineStr">
        <is>
          <t>Core candidate</t>
        </is>
      </c>
      <c r="D117" s="57" t="inlineStr">
        <is>
          <t>Rates vary by definition and technique; no universal rate supplied</t>
        </is>
      </c>
      <c r="E117" s="57" t="inlineStr">
        <is>
          <t>[15] SIR Quality Improvement Guidelines for Prostatic Artery Embolization. 2020; exact final record/page requires verification. [16] Cornelis et al. CIRSE Standards of Practice on Prostatic Artery Embolisation. 2020 (online 2019); DOI 10.1007/s00270-019-02379-3; PMID 31792588</t>
        </is>
      </c>
      <c r="F117" s="59" t="inlineStr"/>
      <c r="G117" s="59" t="inlineStr"/>
      <c r="H117" s="59" t="inlineStr"/>
      <c r="I117" s="59" t="inlineStr"/>
      <c r="J117" s="59" t="inlineStr"/>
      <c r="K117" s="59" t="inlineStr"/>
      <c r="L117" s="59" t="inlineStr"/>
      <c r="M117" s="59" t="inlineStr"/>
      <c r="N117" s="57">
        <f>COUNT(F117:M117)</f>
        <v/>
      </c>
      <c r="O117" s="60">
        <f>IF(N117=0,"",COUNTIF(F117:M117,"&gt;=4")/N117)</f>
        <v/>
      </c>
      <c r="P117" s="60">
        <f>IF(N117=0,"",COUNTIF(F117:M117,"&lt;=2")/N117)</f>
        <v/>
      </c>
      <c r="Q117" s="57">
        <f>IF(N117=0,"",MEDIAN(F117:M117))</f>
        <v/>
      </c>
      <c r="R117" s="61">
        <f>IF(N117=0,"Not scored",IF(O117&gt;=0.8,"Include",IF(P117&gt;=0.8,"Exclude","Round 2")))</f>
        <v/>
      </c>
      <c r="S117" s="57" t="inlineStr"/>
      <c r="T117" s="57" t="inlineStr"/>
    </row>
    <row r="118">
      <c r="A118" s="57" t="inlineStr">
        <is>
          <t>Prostatic artery embolisation (PAE)</t>
        </is>
      </c>
      <c r="B118" s="57" t="inlineStr">
        <is>
          <t>Arterial access bleeding/haematoma</t>
        </is>
      </c>
      <c r="C118" s="57" t="inlineStr">
        <is>
          <t>Core candidate</t>
        </is>
      </c>
      <c r="D118" s="57" t="inlineStr">
        <is>
          <t>Rates vary by definition and technique; no universal rate supplied</t>
        </is>
      </c>
      <c r="E118" s="57" t="inlineStr">
        <is>
          <t>[15] SIR Quality Improvement Guidelines for Prostatic Artery Embolization. 2020; exact final record/page requires verification. [16] Cornelis et al. CIRSE Standards of Practice on Prostatic Artery Embolisation. 2020 (online 2019); DOI 10.1007/s00270-019-02379-3; PMID 31792588</t>
        </is>
      </c>
      <c r="F118" s="59" t="inlineStr"/>
      <c r="G118" s="59" t="inlineStr"/>
      <c r="H118" s="59" t="inlineStr"/>
      <c r="I118" s="59" t="inlineStr"/>
      <c r="J118" s="59" t="inlineStr"/>
      <c r="K118" s="59" t="inlineStr"/>
      <c r="L118" s="59" t="inlineStr"/>
      <c r="M118" s="59" t="inlineStr"/>
      <c r="N118" s="57">
        <f>COUNT(F118:M118)</f>
        <v/>
      </c>
      <c r="O118" s="60">
        <f>IF(N118=0,"",COUNTIF(F118:M118,"&gt;=4")/N118)</f>
        <v/>
      </c>
      <c r="P118" s="60">
        <f>IF(N118=0,"",COUNTIF(F118:M118,"&lt;=2")/N118)</f>
        <v/>
      </c>
      <c r="Q118" s="57">
        <f>IF(N118=0,"",MEDIAN(F118:M118))</f>
        <v/>
      </c>
      <c r="R118" s="61">
        <f>IF(N118=0,"Not scored",IF(O118&gt;=0.8,"Include",IF(P118&gt;=0.8,"Exclude","Round 2")))</f>
        <v/>
      </c>
      <c r="S118" s="57" t="inlineStr"/>
      <c r="T118" s="57" t="inlineStr"/>
    </row>
    <row r="119">
      <c r="A119" s="57" t="inlineStr">
        <is>
          <t>Prostatic artery embolisation (PAE)</t>
        </is>
      </c>
      <c r="B119" s="57" t="inlineStr">
        <is>
          <t>arterial injury</t>
        </is>
      </c>
      <c r="C119" s="57" t="inlineStr">
        <is>
          <t>Core candidate</t>
        </is>
      </c>
      <c r="D119" s="57" t="inlineStr">
        <is>
          <t>Rates vary by definition and technique; no universal rate supplied</t>
        </is>
      </c>
      <c r="E119" s="57" t="inlineStr">
        <is>
          <t>[15] SIR Quality Improvement Guidelines for Prostatic Artery Embolization. 2020; exact final record/page requires verification. [16] Cornelis et al. CIRSE Standards of Practice on Prostatic Artery Embolisation. 2020 (online 2019); DOI 10.1007/s00270-019-02379-3; PMID 31792588</t>
        </is>
      </c>
      <c r="F119" s="59" t="inlineStr"/>
      <c r="G119" s="59" t="inlineStr"/>
      <c r="H119" s="59" t="inlineStr"/>
      <c r="I119" s="59" t="inlineStr"/>
      <c r="J119" s="59" t="inlineStr"/>
      <c r="K119" s="59" t="inlineStr"/>
      <c r="L119" s="59" t="inlineStr"/>
      <c r="M119" s="59" t="inlineStr"/>
      <c r="N119" s="57">
        <f>COUNT(F119:M119)</f>
        <v/>
      </c>
      <c r="O119" s="60">
        <f>IF(N119=0,"",COUNTIF(F119:M119,"&gt;=4")/N119)</f>
        <v/>
      </c>
      <c r="P119" s="60">
        <f>IF(N119=0,"",COUNTIF(F119:M119,"&lt;=2")/N119)</f>
        <v/>
      </c>
      <c r="Q119" s="57">
        <f>IF(N119=0,"",MEDIAN(F119:M119))</f>
        <v/>
      </c>
      <c r="R119" s="61">
        <f>IF(N119=0,"Not scored",IF(O119&gt;=0.8,"Include",IF(P119&gt;=0.8,"Exclude","Round 2")))</f>
        <v/>
      </c>
      <c r="S119" s="57" t="inlineStr"/>
      <c r="T119" s="57" t="inlineStr"/>
    </row>
    <row r="120">
      <c r="A120" s="57" t="inlineStr">
        <is>
          <t>Prostatic artery embolisation (PAE)</t>
        </is>
      </c>
      <c r="B120" s="57" t="inlineStr">
        <is>
          <t>Contrast reaction/AKI</t>
        </is>
      </c>
      <c r="C120" s="57" t="inlineStr">
        <is>
          <t>Conditional / patient-specific</t>
        </is>
      </c>
      <c r="D120" s="57" t="inlineStr">
        <is>
          <t>Rates vary by definition and technique; no universal rate supplied</t>
        </is>
      </c>
      <c r="E120" s="57" t="inlineStr">
        <is>
          <t>[15] SIR Quality Improvement Guidelines for Prostatic Artery Embolization. 2020; exact final record/page requires verification. [16] Cornelis et al. CIRSE Standards of Practice on Prostatic Artery Embolisation. 2020 (online 2019); DOI 10.1007/s00270-019-02379-3; PMID 31792588</t>
        </is>
      </c>
      <c r="F120" s="59" t="inlineStr"/>
      <c r="G120" s="59" t="inlineStr"/>
      <c r="H120" s="59" t="inlineStr"/>
      <c r="I120" s="59" t="inlineStr"/>
      <c r="J120" s="59" t="inlineStr"/>
      <c r="K120" s="59" t="inlineStr"/>
      <c r="L120" s="59" t="inlineStr"/>
      <c r="M120" s="59" t="inlineStr"/>
      <c r="N120" s="57">
        <f>COUNT(F120:M120)</f>
        <v/>
      </c>
      <c r="O120" s="60">
        <f>IF(N120=0,"",COUNTIF(F120:M120,"&gt;=4")/N120)</f>
        <v/>
      </c>
      <c r="P120" s="60">
        <f>IF(N120=0,"",COUNTIF(F120:M120,"&lt;=2")/N120)</f>
        <v/>
      </c>
      <c r="Q120" s="57">
        <f>IF(N120=0,"",MEDIAN(F120:M120))</f>
        <v/>
      </c>
      <c r="R120" s="61">
        <f>IF(N120=0,"Not scored",IF(O120&gt;=0.8,"Include",IF(P120&gt;=0.8,"Exclude","Round 2")))</f>
        <v/>
      </c>
      <c r="S120" s="57" t="inlineStr"/>
      <c r="T120" s="57" t="inlineStr"/>
    </row>
    <row r="121">
      <c r="A121" s="57" t="inlineStr">
        <is>
          <t>Prostatic artery embolisation (PAE)</t>
        </is>
      </c>
      <c r="B121" s="57" t="inlineStr">
        <is>
          <t>radiation exposure</t>
        </is>
      </c>
      <c r="C121" s="57" t="inlineStr">
        <is>
          <t>Conditional / patient-specific</t>
        </is>
      </c>
      <c r="D121" s="57" t="inlineStr">
        <is>
          <t>Rates vary by definition and technique; no universal rate supplied</t>
        </is>
      </c>
      <c r="E121" s="57" t="inlineStr">
        <is>
          <t>[15] SIR Quality Improvement Guidelines for Prostatic Artery Embolization. 2020; exact final record/page requires verification. [16] Cornelis et al. CIRSE Standards of Practice on Prostatic Artery Embolisation. 2020 (online 2019); DOI 10.1007/s00270-019-02379-3; PMID 31792588</t>
        </is>
      </c>
      <c r="F121" s="59" t="inlineStr"/>
      <c r="G121" s="59" t="inlineStr"/>
      <c r="H121" s="59" t="inlineStr"/>
      <c r="I121" s="59" t="inlineStr"/>
      <c r="J121" s="59" t="inlineStr"/>
      <c r="K121" s="59" t="inlineStr"/>
      <c r="L121" s="59" t="inlineStr"/>
      <c r="M121" s="59" t="inlineStr"/>
      <c r="N121" s="57">
        <f>COUNT(F121:M121)</f>
        <v/>
      </c>
      <c r="O121" s="60">
        <f>IF(N121=0,"",COUNTIF(F121:M121,"&gt;=4")/N121)</f>
        <v/>
      </c>
      <c r="P121" s="60">
        <f>IF(N121=0,"",COUNTIF(F121:M121,"&lt;=2")/N121)</f>
        <v/>
      </c>
      <c r="Q121" s="57">
        <f>IF(N121=0,"",MEDIAN(F121:M121))</f>
        <v/>
      </c>
      <c r="R121" s="61">
        <f>IF(N121=0,"Not scored",IF(O121&gt;=0.8,"Include",IF(P121&gt;=0.8,"Exclude","Round 2")))</f>
        <v/>
      </c>
      <c r="S121" s="57" t="inlineStr"/>
      <c r="T121" s="57" t="inlineStr"/>
    </row>
    <row r="122">
      <c r="A122" s="57" t="inlineStr">
        <is>
          <t>Prostatic artery embolisation (PAE)</t>
        </is>
      </c>
      <c r="B122" s="57" t="inlineStr">
        <is>
          <t>Prostatic arterial anatomy, embolic agent, non-target collateral supply, patient priorities</t>
        </is>
      </c>
      <c r="C122" s="57" t="inlineStr">
        <is>
          <t>Conditional / patient-specific</t>
        </is>
      </c>
      <c r="D122" s="57" t="inlineStr">
        <is>
          <t>Rates vary by definition and technique; no universal rate supplied</t>
        </is>
      </c>
      <c r="E122" s="57" t="inlineStr">
        <is>
          <t>[15] SIR Quality Improvement Guidelines for Prostatic Artery Embolization. 2020; exact final record/page requires verification. [16] Cornelis et al. CIRSE Standards of Practice on Prostatic Artery Embolisation. 2020 (online 2019); DOI 10.1007/s00270-019-02379-3; PMID 31792588</t>
        </is>
      </c>
      <c r="F122" s="59" t="inlineStr"/>
      <c r="G122" s="59" t="inlineStr"/>
      <c r="H122" s="59" t="inlineStr"/>
      <c r="I122" s="59" t="inlineStr"/>
      <c r="J122" s="59" t="inlineStr"/>
      <c r="K122" s="59" t="inlineStr"/>
      <c r="L122" s="59" t="inlineStr"/>
      <c r="M122" s="59" t="inlineStr"/>
      <c r="N122" s="57">
        <f>COUNT(F122:M122)</f>
        <v/>
      </c>
      <c r="O122" s="60">
        <f>IF(N122=0,"",COUNTIF(F122:M122,"&gt;=4")/N122)</f>
        <v/>
      </c>
      <c r="P122" s="60">
        <f>IF(N122=0,"",COUNTIF(F122:M122,"&lt;=2")/N122)</f>
        <v/>
      </c>
      <c r="Q122" s="57">
        <f>IF(N122=0,"",MEDIAN(F122:M122))</f>
        <v/>
      </c>
      <c r="R122" s="61">
        <f>IF(N122=0,"Not scored",IF(O122&gt;=0.8,"Include",IF(P122&gt;=0.8,"Exclude","Round 2")))</f>
        <v/>
      </c>
      <c r="S122" s="57" t="inlineStr"/>
      <c r="T122" s="57" t="inlineStr"/>
    </row>
    <row r="123">
      <c r="A123" s="57" t="inlineStr">
        <is>
          <t>Transarterial chemoembolisation (TACE)</t>
        </is>
      </c>
      <c r="B123" s="57" t="inlineStr">
        <is>
          <t>Post-embolisation symptoms: pain, nausea and fever</t>
        </is>
      </c>
      <c r="C123" s="57" t="inlineStr">
        <is>
          <t>Core candidate</t>
        </is>
      </c>
      <c r="D123" s="57" t="inlineStr">
        <is>
          <t>CIRSE SOP reports PES expected in about 30%; do not classify expected PES as equivalent to major organ injury</t>
        </is>
      </c>
      <c r="E123" s="57" t="inlineStr">
        <is>
          <t>[17] Lucatelli et al. CIRSE Standards of Practice on Hepatic Transarterial Chemoembolisation. 2021; DOI 10.1007/s00270-021-02968-1; PMID 34694454</t>
        </is>
      </c>
      <c r="F123" s="59" t="inlineStr"/>
      <c r="G123" s="59" t="inlineStr"/>
      <c r="H123" s="59" t="inlineStr"/>
      <c r="I123" s="59" t="inlineStr"/>
      <c r="J123" s="59" t="inlineStr"/>
      <c r="K123" s="59" t="inlineStr"/>
      <c r="L123" s="59" t="inlineStr"/>
      <c r="M123" s="59" t="inlineStr"/>
      <c r="N123" s="57">
        <f>COUNT(F123:M123)</f>
        <v/>
      </c>
      <c r="O123" s="60">
        <f>IF(N123=0,"",COUNTIF(F123:M123,"&gt;=4")/N123)</f>
        <v/>
      </c>
      <c r="P123" s="60">
        <f>IF(N123=0,"",COUNTIF(F123:M123,"&lt;=2")/N123)</f>
        <v/>
      </c>
      <c r="Q123" s="57">
        <f>IF(N123=0,"",MEDIAN(F123:M123))</f>
        <v/>
      </c>
      <c r="R123" s="61">
        <f>IF(N123=0,"Not scored",IF(O123&gt;=0.8,"Include",IF(P123&gt;=0.8,"Exclude","Round 2")))</f>
        <v/>
      </c>
      <c r="S123" s="57" t="inlineStr"/>
      <c r="T123" s="57" t="inlineStr"/>
    </row>
    <row r="124">
      <c r="A124" s="57" t="inlineStr">
        <is>
          <t>Transarterial chemoembolisation (TACE)</t>
        </is>
      </c>
      <c r="B124" s="57" t="inlineStr">
        <is>
          <t>expected in about 30% per CIRSE SOP</t>
        </is>
      </c>
      <c r="C124" s="57" t="inlineStr">
        <is>
          <t>Core candidate</t>
        </is>
      </c>
      <c r="D124" s="57" t="inlineStr">
        <is>
          <t>CIRSE SOP reports PES expected in about 30%; do not classify expected PES as equivalent to major organ injury</t>
        </is>
      </c>
      <c r="E124" s="57" t="inlineStr">
        <is>
          <t>[17] Lucatelli et al. CIRSE Standards of Practice on Hepatic Transarterial Chemoembolisation. 2021; DOI 10.1007/s00270-021-02968-1; PMID 34694454</t>
        </is>
      </c>
      <c r="F124" s="59" t="inlineStr"/>
      <c r="G124" s="59" t="inlineStr"/>
      <c r="H124" s="59" t="inlineStr"/>
      <c r="I124" s="59" t="inlineStr"/>
      <c r="J124" s="59" t="inlineStr"/>
      <c r="K124" s="59" t="inlineStr"/>
      <c r="L124" s="59" t="inlineStr"/>
      <c r="M124" s="59" t="inlineStr"/>
      <c r="N124" s="57">
        <f>COUNT(F124:M124)</f>
        <v/>
      </c>
      <c r="O124" s="60">
        <f>IF(N124=0,"",COUNTIF(F124:M124,"&gt;=4")/N124)</f>
        <v/>
      </c>
      <c r="P124" s="60">
        <f>IF(N124=0,"",COUNTIF(F124:M124,"&lt;=2")/N124)</f>
        <v/>
      </c>
      <c r="Q124" s="57">
        <f>IF(N124=0,"",MEDIAN(F124:M124))</f>
        <v/>
      </c>
      <c r="R124" s="61">
        <f>IF(N124=0,"Not scored",IF(O124&gt;=0.8,"Include",IF(P124&gt;=0.8,"Exclude","Round 2")))</f>
        <v/>
      </c>
      <c r="S124" s="57" t="inlineStr"/>
      <c r="T124" s="57" t="inlineStr"/>
    </row>
    <row r="125">
      <c r="A125" s="57" t="inlineStr">
        <is>
          <t>Transarterial chemoembolisation (TACE)</t>
        </is>
      </c>
      <c r="B125" s="57" t="inlineStr">
        <is>
          <t>Cholecystitis</t>
        </is>
      </c>
      <c r="C125" s="57" t="inlineStr">
        <is>
          <t>Core candidate</t>
        </is>
      </c>
      <c r="D125" s="57" t="inlineStr">
        <is>
          <t>CIRSE SOP reports PES expected in about 30%; do not classify expected PES as equivalent to major organ injury</t>
        </is>
      </c>
      <c r="E125" s="57" t="inlineStr">
        <is>
          <t>[17] Lucatelli et al. CIRSE Standards of Practice on Hepatic Transarterial Chemoembolisation. 2021; DOI 10.1007/s00270-021-02968-1; PMID 34694454</t>
        </is>
      </c>
      <c r="F125" s="59" t="inlineStr"/>
      <c r="G125" s="59" t="inlineStr"/>
      <c r="H125" s="59" t="inlineStr"/>
      <c r="I125" s="59" t="inlineStr"/>
      <c r="J125" s="59" t="inlineStr"/>
      <c r="K125" s="59" t="inlineStr"/>
      <c r="L125" s="59" t="inlineStr"/>
      <c r="M125" s="59" t="inlineStr"/>
      <c r="N125" s="57">
        <f>COUNT(F125:M125)</f>
        <v/>
      </c>
      <c r="O125" s="60">
        <f>IF(N125=0,"",COUNTIF(F125:M125,"&gt;=4")/N125)</f>
        <v/>
      </c>
      <c r="P125" s="60">
        <f>IF(N125=0,"",COUNTIF(F125:M125,"&lt;=2")/N125)</f>
        <v/>
      </c>
      <c r="Q125" s="57">
        <f>IF(N125=0,"",MEDIAN(F125:M125))</f>
        <v/>
      </c>
      <c r="R125" s="61">
        <f>IF(N125=0,"Not scored",IF(O125&gt;=0.8,"Include",IF(P125&gt;=0.8,"Exclude","Round 2")))</f>
        <v/>
      </c>
      <c r="S125" s="57" t="inlineStr"/>
      <c r="T125" s="57" t="inlineStr"/>
    </row>
    <row r="126">
      <c r="A126" s="57" t="inlineStr">
        <is>
          <t>Transarterial chemoembolisation (TACE)</t>
        </is>
      </c>
      <c r="B126" s="57" t="inlineStr">
        <is>
          <t>biliary ischaemia/necrosis</t>
        </is>
      </c>
      <c r="C126" s="57" t="inlineStr">
        <is>
          <t>Core candidate</t>
        </is>
      </c>
      <c r="D126" s="57" t="inlineStr">
        <is>
          <t>CIRSE SOP reports PES expected in about 30%; do not classify expected PES as equivalent to major organ injury</t>
        </is>
      </c>
      <c r="E126" s="57" t="inlineStr">
        <is>
          <t>[17] Lucatelli et al. CIRSE Standards of Practice on Hepatic Transarterial Chemoembolisation. 2021; DOI 10.1007/s00270-021-02968-1; PMID 34694454</t>
        </is>
      </c>
      <c r="F126" s="59" t="inlineStr"/>
      <c r="G126" s="59" t="inlineStr"/>
      <c r="H126" s="59" t="inlineStr"/>
      <c r="I126" s="59" t="inlineStr"/>
      <c r="J126" s="59" t="inlineStr"/>
      <c r="K126" s="59" t="inlineStr"/>
      <c r="L126" s="59" t="inlineStr"/>
      <c r="M126" s="59" t="inlineStr"/>
      <c r="N126" s="57">
        <f>COUNT(F126:M126)</f>
        <v/>
      </c>
      <c r="O126" s="60">
        <f>IF(N126=0,"",COUNTIF(F126:M126,"&gt;=4")/N126)</f>
        <v/>
      </c>
      <c r="P126" s="60">
        <f>IF(N126=0,"",COUNTIF(F126:M126,"&lt;=2")/N126)</f>
        <v/>
      </c>
      <c r="Q126" s="57">
        <f>IF(N126=0,"",MEDIAN(F126:M126))</f>
        <v/>
      </c>
      <c r="R126" s="61">
        <f>IF(N126=0,"Not scored",IF(O126&gt;=0.8,"Include",IF(P126&gt;=0.8,"Exclude","Round 2")))</f>
        <v/>
      </c>
      <c r="S126" s="57" t="inlineStr"/>
      <c r="T126" s="57" t="inlineStr"/>
    </row>
    <row r="127">
      <c r="A127" s="57" t="inlineStr">
        <is>
          <t>Transarterial chemoembolisation (TACE)</t>
        </is>
      </c>
      <c r="B127" s="57" t="inlineStr">
        <is>
          <t>hepatic decompensation</t>
        </is>
      </c>
      <c r="C127" s="57" t="inlineStr">
        <is>
          <t>Core candidate</t>
        </is>
      </c>
      <c r="D127" s="57" t="inlineStr">
        <is>
          <t>CIRSE SOP reports PES expected in about 30%; do not classify expected PES as equivalent to major organ injury</t>
        </is>
      </c>
      <c r="E127" s="57" t="inlineStr">
        <is>
          <t>[17] Lucatelli et al. CIRSE Standards of Practice on Hepatic Transarterial Chemoembolisation. 2021; DOI 10.1007/s00270-021-02968-1; PMID 34694454</t>
        </is>
      </c>
      <c r="F127" s="59" t="inlineStr"/>
      <c r="G127" s="59" t="inlineStr"/>
      <c r="H127" s="59" t="inlineStr"/>
      <c r="I127" s="59" t="inlineStr"/>
      <c r="J127" s="59" t="inlineStr"/>
      <c r="K127" s="59" t="inlineStr"/>
      <c r="L127" s="59" t="inlineStr"/>
      <c r="M127" s="59" t="inlineStr"/>
      <c r="N127" s="57">
        <f>COUNT(F127:M127)</f>
        <v/>
      </c>
      <c r="O127" s="60">
        <f>IF(N127=0,"",COUNTIF(F127:M127,"&gt;=4")/N127)</f>
        <v/>
      </c>
      <c r="P127" s="60">
        <f>IF(N127=0,"",COUNTIF(F127:M127,"&lt;=2")/N127)</f>
        <v/>
      </c>
      <c r="Q127" s="57">
        <f>IF(N127=0,"",MEDIAN(F127:M127))</f>
        <v/>
      </c>
      <c r="R127" s="61">
        <f>IF(N127=0,"Not scored",IF(O127&gt;=0.8,"Include",IF(P127&gt;=0.8,"Exclude","Round 2")))</f>
        <v/>
      </c>
      <c r="S127" s="57" t="inlineStr"/>
      <c r="T127" s="57" t="inlineStr"/>
    </row>
    <row r="128">
      <c r="A128" s="57" t="inlineStr">
        <is>
          <t>Transarterial chemoembolisation (TACE)</t>
        </is>
      </c>
      <c r="B128" s="57" t="inlineStr">
        <is>
          <t>Liver failure</t>
        </is>
      </c>
      <c r="C128" s="57" t="inlineStr">
        <is>
          <t>Core candidate</t>
        </is>
      </c>
      <c r="D128" s="57" t="inlineStr">
        <is>
          <t>CIRSE SOP reports PES expected in about 30%; do not classify expected PES as equivalent to major organ injury</t>
        </is>
      </c>
      <c r="E128" s="57" t="inlineStr">
        <is>
          <t>[17] Lucatelli et al. CIRSE Standards of Practice on Hepatic Transarterial Chemoembolisation. 2021; DOI 10.1007/s00270-021-02968-1; PMID 34694454</t>
        </is>
      </c>
      <c r="F128" s="59" t="inlineStr"/>
      <c r="G128" s="59" t="inlineStr"/>
      <c r="H128" s="59" t="inlineStr"/>
      <c r="I128" s="59" t="inlineStr"/>
      <c r="J128" s="59" t="inlineStr"/>
      <c r="K128" s="59" t="inlineStr"/>
      <c r="L128" s="59" t="inlineStr"/>
      <c r="M128" s="59" t="inlineStr"/>
      <c r="N128" s="57">
        <f>COUNT(F128:M128)</f>
        <v/>
      </c>
      <c r="O128" s="60">
        <f>IF(N128=0,"",COUNTIF(F128:M128,"&gt;=4")/N128)</f>
        <v/>
      </c>
      <c r="P128" s="60">
        <f>IF(N128=0,"",COUNTIF(F128:M128,"&lt;=2")/N128)</f>
        <v/>
      </c>
      <c r="Q128" s="57">
        <f>IF(N128=0,"",MEDIAN(F128:M128))</f>
        <v/>
      </c>
      <c r="R128" s="61">
        <f>IF(N128=0,"Not scored",IF(O128&gt;=0.8,"Include",IF(P128&gt;=0.8,"Exclude","Round 2")))</f>
        <v/>
      </c>
      <c r="S128" s="57" t="inlineStr"/>
      <c r="T128" s="57" t="inlineStr"/>
    </row>
    <row r="129">
      <c r="A129" s="57" t="inlineStr">
        <is>
          <t>Transarterial chemoembolisation (TACE)</t>
        </is>
      </c>
      <c r="B129" s="57" t="inlineStr">
        <is>
          <t>abscess/sepsis (risk increased with biliary-enteric communication/instrumentation)</t>
        </is>
      </c>
      <c r="C129" s="57" t="inlineStr">
        <is>
          <t>Core candidate</t>
        </is>
      </c>
      <c r="D129" s="57" t="inlineStr">
        <is>
          <t>CIRSE SOP reports PES expected in about 30%; do not classify expected PES as equivalent to major organ injury</t>
        </is>
      </c>
      <c r="E129" s="57" t="inlineStr">
        <is>
          <t>[17] Lucatelli et al. CIRSE Standards of Practice on Hepatic Transarterial Chemoembolisation. 2021; DOI 10.1007/s00270-021-02968-1; PMID 34694454</t>
        </is>
      </c>
      <c r="F129" s="59" t="inlineStr"/>
      <c r="G129" s="59" t="inlineStr"/>
      <c r="H129" s="59" t="inlineStr"/>
      <c r="I129" s="59" t="inlineStr"/>
      <c r="J129" s="59" t="inlineStr"/>
      <c r="K129" s="59" t="inlineStr"/>
      <c r="L129" s="59" t="inlineStr"/>
      <c r="M129" s="59" t="inlineStr"/>
      <c r="N129" s="57">
        <f>COUNT(F129:M129)</f>
        <v/>
      </c>
      <c r="O129" s="60">
        <f>IF(N129=0,"",COUNTIF(F129:M129,"&gt;=4")/N129)</f>
        <v/>
      </c>
      <c r="P129" s="60">
        <f>IF(N129=0,"",COUNTIF(F129:M129,"&lt;=2")/N129)</f>
        <v/>
      </c>
      <c r="Q129" s="57">
        <f>IF(N129=0,"",MEDIAN(F129:M129))</f>
        <v/>
      </c>
      <c r="R129" s="61">
        <f>IF(N129=0,"Not scored",IF(O129&gt;=0.8,"Include",IF(P129&gt;=0.8,"Exclude","Round 2")))</f>
        <v/>
      </c>
      <c r="S129" s="57" t="inlineStr"/>
      <c r="T129" s="57" t="inlineStr"/>
    </row>
    <row r="130">
      <c r="A130" s="57" t="inlineStr">
        <is>
          <t>Transarterial chemoembolisation (TACE)</t>
        </is>
      </c>
      <c r="B130" s="57" t="inlineStr">
        <is>
          <t>non-target GI embolisation</t>
        </is>
      </c>
      <c r="C130" s="57" t="inlineStr">
        <is>
          <t>Core candidate</t>
        </is>
      </c>
      <c r="D130" s="57" t="inlineStr">
        <is>
          <t>CIRSE SOP reports PES expected in about 30%; do not classify expected PES as equivalent to major organ injury</t>
        </is>
      </c>
      <c r="E130" s="57" t="inlineStr">
        <is>
          <t>[17] Lucatelli et al. CIRSE Standards of Practice on Hepatic Transarterial Chemoembolisation. 2021; DOI 10.1007/s00270-021-02968-1; PMID 34694454</t>
        </is>
      </c>
      <c r="F130" s="59" t="inlineStr"/>
      <c r="G130" s="59" t="inlineStr"/>
      <c r="H130" s="59" t="inlineStr"/>
      <c r="I130" s="59" t="inlineStr"/>
      <c r="J130" s="59" t="inlineStr"/>
      <c r="K130" s="59" t="inlineStr"/>
      <c r="L130" s="59" t="inlineStr"/>
      <c r="M130" s="59" t="inlineStr"/>
      <c r="N130" s="57">
        <f>COUNT(F130:M130)</f>
        <v/>
      </c>
      <c r="O130" s="60">
        <f>IF(N130=0,"",COUNTIF(F130:M130,"&gt;=4")/N130)</f>
        <v/>
      </c>
      <c r="P130" s="60">
        <f>IF(N130=0,"",COUNTIF(F130:M130,"&lt;=2")/N130)</f>
        <v/>
      </c>
      <c r="Q130" s="57">
        <f>IF(N130=0,"",MEDIAN(F130:M130))</f>
        <v/>
      </c>
      <c r="R130" s="61">
        <f>IF(N130=0,"Not scored",IF(O130&gt;=0.8,"Include",IF(P130&gt;=0.8,"Exclude","Round 2")))</f>
        <v/>
      </c>
      <c r="S130" s="57" t="inlineStr"/>
      <c r="T130" s="57" t="inlineStr"/>
    </row>
    <row r="131">
      <c r="A131" s="57" t="inlineStr">
        <is>
          <t>Transarterial chemoembolisation (TACE)</t>
        </is>
      </c>
      <c r="B131" s="57" t="inlineStr">
        <is>
          <t>Arterial access bleeding/haematoma</t>
        </is>
      </c>
      <c r="C131" s="57" t="inlineStr">
        <is>
          <t>Core candidate</t>
        </is>
      </c>
      <c r="D131" s="57" t="inlineStr">
        <is>
          <t>CIRSE SOP reports PES expected in about 30%; do not classify expected PES as equivalent to major organ injury</t>
        </is>
      </c>
      <c r="E131" s="57" t="inlineStr">
        <is>
          <t>[17] Lucatelli et al. CIRSE Standards of Practice on Hepatic Transarterial Chemoembolisation. 2021; DOI 10.1007/s00270-021-02968-1; PMID 34694454</t>
        </is>
      </c>
      <c r="F131" s="59" t="inlineStr"/>
      <c r="G131" s="59" t="inlineStr"/>
      <c r="H131" s="59" t="inlineStr"/>
      <c r="I131" s="59" t="inlineStr"/>
      <c r="J131" s="59" t="inlineStr"/>
      <c r="K131" s="59" t="inlineStr"/>
      <c r="L131" s="59" t="inlineStr"/>
      <c r="M131" s="59" t="inlineStr"/>
      <c r="N131" s="57">
        <f>COUNT(F131:M131)</f>
        <v/>
      </c>
      <c r="O131" s="60">
        <f>IF(N131=0,"",COUNTIF(F131:M131,"&gt;=4")/N131)</f>
        <v/>
      </c>
      <c r="P131" s="60">
        <f>IF(N131=0,"",COUNTIF(F131:M131,"&lt;=2")/N131)</f>
        <v/>
      </c>
      <c r="Q131" s="57">
        <f>IF(N131=0,"",MEDIAN(F131:M131))</f>
        <v/>
      </c>
      <c r="R131" s="61">
        <f>IF(N131=0,"Not scored",IF(O131&gt;=0.8,"Include",IF(P131&gt;=0.8,"Exclude","Round 2")))</f>
        <v/>
      </c>
      <c r="S131" s="57" t="inlineStr"/>
      <c r="T131" s="57" t="inlineStr"/>
    </row>
    <row r="132">
      <c r="A132" s="57" t="inlineStr">
        <is>
          <t>Transarterial chemoembolisation (TACE)</t>
        </is>
      </c>
      <c r="B132" s="57" t="inlineStr">
        <is>
          <t>Contrast reaction/AKI</t>
        </is>
      </c>
      <c r="C132" s="57" t="inlineStr">
        <is>
          <t>Conditional / patient-specific</t>
        </is>
      </c>
      <c r="D132" s="57" t="inlineStr">
        <is>
          <t>CIRSE SOP reports PES expected in about 30%; do not classify expected PES as equivalent to major organ injury</t>
        </is>
      </c>
      <c r="E132" s="57" t="inlineStr">
        <is>
          <t>[17] Lucatelli et al. CIRSE Standards of Practice on Hepatic Transarterial Chemoembolisation. 2021; DOI 10.1007/s00270-021-02968-1; PMID 34694454</t>
        </is>
      </c>
      <c r="F132" s="59" t="inlineStr"/>
      <c r="G132" s="59" t="inlineStr"/>
      <c r="H132" s="59" t="inlineStr"/>
      <c r="I132" s="59" t="inlineStr"/>
      <c r="J132" s="59" t="inlineStr"/>
      <c r="K132" s="59" t="inlineStr"/>
      <c r="L132" s="59" t="inlineStr"/>
      <c r="M132" s="59" t="inlineStr"/>
      <c r="N132" s="57">
        <f>COUNT(F132:M132)</f>
        <v/>
      </c>
      <c r="O132" s="60">
        <f>IF(N132=0,"",COUNTIF(F132:M132,"&gt;=4")/N132)</f>
        <v/>
      </c>
      <c r="P132" s="60">
        <f>IF(N132=0,"",COUNTIF(F132:M132,"&lt;=2")/N132)</f>
        <v/>
      </c>
      <c r="Q132" s="57">
        <f>IF(N132=0,"",MEDIAN(F132:M132))</f>
        <v/>
      </c>
      <c r="R132" s="61">
        <f>IF(N132=0,"Not scored",IF(O132&gt;=0.8,"Include",IF(P132&gt;=0.8,"Exclude","Round 2")))</f>
        <v/>
      </c>
      <c r="S132" s="57" t="inlineStr"/>
      <c r="T132" s="57" t="inlineStr"/>
    </row>
    <row r="133">
      <c r="A133" s="57" t="inlineStr">
        <is>
          <t>Transarterial chemoembolisation (TACE)</t>
        </is>
      </c>
      <c r="B133" s="57" t="inlineStr">
        <is>
          <t>radiation exposure</t>
        </is>
      </c>
      <c r="C133" s="57" t="inlineStr">
        <is>
          <t>Conditional / patient-specific</t>
        </is>
      </c>
      <c r="D133" s="57" t="inlineStr">
        <is>
          <t>CIRSE SOP reports PES expected in about 30%; do not classify expected PES as equivalent to major organ injury</t>
        </is>
      </c>
      <c r="E133" s="57" t="inlineStr">
        <is>
          <t>[17] Lucatelli et al. CIRSE Standards of Practice on Hepatic Transarterial Chemoembolisation. 2021; DOI 10.1007/s00270-021-02968-1; PMID 34694454</t>
        </is>
      </c>
      <c r="F133" s="59" t="inlineStr"/>
      <c r="G133" s="59" t="inlineStr"/>
      <c r="H133" s="59" t="inlineStr"/>
      <c r="I133" s="59" t="inlineStr"/>
      <c r="J133" s="59" t="inlineStr"/>
      <c r="K133" s="59" t="inlineStr"/>
      <c r="L133" s="59" t="inlineStr"/>
      <c r="M133" s="59" t="inlineStr"/>
      <c r="N133" s="57">
        <f>COUNT(F133:M133)</f>
        <v/>
      </c>
      <c r="O133" s="60">
        <f>IF(N133=0,"",COUNTIF(F133:M133,"&gt;=4")/N133)</f>
        <v/>
      </c>
      <c r="P133" s="60">
        <f>IF(N133=0,"",COUNTIF(F133:M133,"&lt;=2")/N133)</f>
        <v/>
      </c>
      <c r="Q133" s="57">
        <f>IF(N133=0,"",MEDIAN(F133:M133))</f>
        <v/>
      </c>
      <c r="R133" s="61">
        <f>IF(N133=0,"Not scored",IF(O133&gt;=0.8,"Include",IF(P133&gt;=0.8,"Exclude","Round 2")))</f>
        <v/>
      </c>
      <c r="S133" s="57" t="inlineStr"/>
      <c r="T133" s="57" t="inlineStr"/>
    </row>
    <row r="134">
      <c r="A134" s="57" t="inlineStr">
        <is>
          <t>Transarterial chemoembolisation (TACE)</t>
        </is>
      </c>
      <c r="B134" s="57" t="inlineStr">
        <is>
          <t>Liver reserve, tumour burden, portal flow, biliary instrumentation, embolic technique</t>
        </is>
      </c>
      <c r="C134" s="57" t="inlineStr">
        <is>
          <t>Conditional / patient-specific</t>
        </is>
      </c>
      <c r="D134" s="57" t="inlineStr">
        <is>
          <t>CIRSE SOP reports PES expected in about 30%; do not classify expected PES as equivalent to major organ injury</t>
        </is>
      </c>
      <c r="E134" s="57" t="inlineStr">
        <is>
          <t>[17] Lucatelli et al. CIRSE Standards of Practice on Hepatic Transarterial Chemoembolisation. 2021; DOI 10.1007/s00270-021-02968-1; PMID 34694454</t>
        </is>
      </c>
      <c r="F134" s="59" t="inlineStr"/>
      <c r="G134" s="59" t="inlineStr"/>
      <c r="H134" s="59" t="inlineStr"/>
      <c r="I134" s="59" t="inlineStr"/>
      <c r="J134" s="59" t="inlineStr"/>
      <c r="K134" s="59" t="inlineStr"/>
      <c r="L134" s="59" t="inlineStr"/>
      <c r="M134" s="59" t="inlineStr"/>
      <c r="N134" s="57">
        <f>COUNT(F134:M134)</f>
        <v/>
      </c>
      <c r="O134" s="60">
        <f>IF(N134=0,"",COUNTIF(F134:M134,"&gt;=4")/N134)</f>
        <v/>
      </c>
      <c r="P134" s="60">
        <f>IF(N134=0,"",COUNTIF(F134:M134,"&lt;=2")/N134)</f>
        <v/>
      </c>
      <c r="Q134" s="57">
        <f>IF(N134=0,"",MEDIAN(F134:M134))</f>
        <v/>
      </c>
      <c r="R134" s="61">
        <f>IF(N134=0,"Not scored",IF(O134&gt;=0.8,"Include",IF(P134&gt;=0.8,"Exclude","Round 2")))</f>
        <v/>
      </c>
      <c r="S134" s="57" t="inlineStr"/>
      <c r="T134" s="57" t="inlineStr"/>
    </row>
    <row r="135">
      <c r="A135" s="57" t="inlineStr">
        <is>
          <t>Thoracic endovascular aortic repair (TEVAR)</t>
        </is>
      </c>
      <c r="B135" s="57" t="inlineStr">
        <is>
          <t>Access bruising/bleeding</t>
        </is>
      </c>
      <c r="C135" s="57" t="inlineStr">
        <is>
          <t>Core candidate</t>
        </is>
      </c>
      <c r="D135" s="57" t="inlineStr">
        <is>
          <t>Rates depend on indication, coverage and case mix; no universal rate supplied</t>
        </is>
      </c>
      <c r="E135" s="57" t="inlineStr">
        <is>
          <t>[18] Gupta et al. CIRSE Standards of Practice on the Endovascular Management of Descending Thoracic Aortic Disease. 2026; DOI 10.1007/s00270-026-04477-5; PMID 42545482. [19] SIR practice parameter for endovascular treatment of thoracic aortic aneurysms, 2010; SIR guideline index</t>
        </is>
      </c>
      <c r="F135" s="59" t="inlineStr"/>
      <c r="G135" s="59" t="inlineStr"/>
      <c r="H135" s="59" t="inlineStr"/>
      <c r="I135" s="59" t="inlineStr"/>
      <c r="J135" s="59" t="inlineStr"/>
      <c r="K135" s="59" t="inlineStr"/>
      <c r="L135" s="59" t="inlineStr"/>
      <c r="M135" s="59" t="inlineStr"/>
      <c r="N135" s="57">
        <f>COUNT(F135:M135)</f>
        <v/>
      </c>
      <c r="O135" s="60">
        <f>IF(N135=0,"",COUNTIF(F135:M135,"&gt;=4")/N135)</f>
        <v/>
      </c>
      <c r="P135" s="60">
        <f>IF(N135=0,"",COUNTIF(F135:M135,"&lt;=2")/N135)</f>
        <v/>
      </c>
      <c r="Q135" s="57">
        <f>IF(N135=0,"",MEDIAN(F135:M135))</f>
        <v/>
      </c>
      <c r="R135" s="61">
        <f>IF(N135=0,"Not scored",IF(O135&gt;=0.8,"Include",IF(P135&gt;=0.8,"Exclude","Round 2")))</f>
        <v/>
      </c>
      <c r="S135" s="57" t="inlineStr"/>
      <c r="T135" s="57" t="inlineStr"/>
    </row>
    <row r="136">
      <c r="A136" s="57" t="inlineStr">
        <is>
          <t>Thoracic endovascular aortic repair (TEVAR)</t>
        </is>
      </c>
      <c r="B136" s="57" t="inlineStr">
        <is>
          <t>possible reintervention</t>
        </is>
      </c>
      <c r="C136" s="57" t="inlineStr">
        <is>
          <t>Core candidate</t>
        </is>
      </c>
      <c r="D136" s="57" t="inlineStr">
        <is>
          <t>Rates depend on indication, coverage and case mix; no universal rate supplied</t>
        </is>
      </c>
      <c r="E136" s="57" t="inlineStr">
        <is>
          <t>[18] Gupta et al. CIRSE Standards of Practice on the Endovascular Management of Descending Thoracic Aortic Disease. 2026; DOI 10.1007/s00270-026-04477-5; PMID 42545482. [19] SIR practice parameter for endovascular treatment of thoracic aortic aneurysms, 2010; SIR guideline index</t>
        </is>
      </c>
      <c r="F136" s="59" t="inlineStr"/>
      <c r="G136" s="59" t="inlineStr"/>
      <c r="H136" s="59" t="inlineStr"/>
      <c r="I136" s="59" t="inlineStr"/>
      <c r="J136" s="59" t="inlineStr"/>
      <c r="K136" s="59" t="inlineStr"/>
      <c r="L136" s="59" t="inlineStr"/>
      <c r="M136" s="59" t="inlineStr"/>
      <c r="N136" s="57">
        <f>COUNT(F136:M136)</f>
        <v/>
      </c>
      <c r="O136" s="60">
        <f>IF(N136=0,"",COUNTIF(F136:M136,"&gt;=4")/N136)</f>
        <v/>
      </c>
      <c r="P136" s="60">
        <f>IF(N136=0,"",COUNTIF(F136:M136,"&lt;=2")/N136)</f>
        <v/>
      </c>
      <c r="Q136" s="57">
        <f>IF(N136=0,"",MEDIAN(F136:M136))</f>
        <v/>
      </c>
      <c r="R136" s="61">
        <f>IF(N136=0,"Not scored",IF(O136&gt;=0.8,"Include",IF(P136&gt;=0.8,"Exclude","Round 2")))</f>
        <v/>
      </c>
      <c r="S136" s="57" t="inlineStr"/>
      <c r="T136" s="57" t="inlineStr"/>
    </row>
    <row r="137">
      <c r="A137" s="57" t="inlineStr">
        <is>
          <t>Thoracic endovascular aortic repair (TEVAR)</t>
        </is>
      </c>
      <c r="B137" s="57" t="inlineStr">
        <is>
          <t>Stroke</t>
        </is>
      </c>
      <c r="C137" s="57" t="inlineStr">
        <is>
          <t>Core candidate</t>
        </is>
      </c>
      <c r="D137" s="57" t="inlineStr">
        <is>
          <t>Rates depend on indication, coverage and case mix; no universal rate supplied</t>
        </is>
      </c>
      <c r="E137" s="57" t="inlineStr">
        <is>
          <t>[18] Gupta et al. CIRSE Standards of Practice on the Endovascular Management of Descending Thoracic Aortic Disease. 2026; DOI 10.1007/s00270-026-04477-5; PMID 42545482. [19] SIR practice parameter for endovascular treatment of thoracic aortic aneurysms, 2010; SIR guideline index</t>
        </is>
      </c>
      <c r="F137" s="59" t="inlineStr"/>
      <c r="G137" s="59" t="inlineStr"/>
      <c r="H137" s="59" t="inlineStr"/>
      <c r="I137" s="59" t="inlineStr"/>
      <c r="J137" s="59" t="inlineStr"/>
      <c r="K137" s="59" t="inlineStr"/>
      <c r="L137" s="59" t="inlineStr"/>
      <c r="M137" s="59" t="inlineStr"/>
      <c r="N137" s="57">
        <f>COUNT(F137:M137)</f>
        <v/>
      </c>
      <c r="O137" s="60">
        <f>IF(N137=0,"",COUNTIF(F137:M137,"&gt;=4")/N137)</f>
        <v/>
      </c>
      <c r="P137" s="60">
        <f>IF(N137=0,"",COUNTIF(F137:M137,"&lt;=2")/N137)</f>
        <v/>
      </c>
      <c r="Q137" s="57">
        <f>IF(N137=0,"",MEDIAN(F137:M137))</f>
        <v/>
      </c>
      <c r="R137" s="61">
        <f>IF(N137=0,"Not scored",IF(O137&gt;=0.8,"Include",IF(P137&gt;=0.8,"Exclude","Round 2")))</f>
        <v/>
      </c>
      <c r="S137" s="57" t="inlineStr"/>
      <c r="T137" s="57" t="inlineStr"/>
    </row>
    <row r="138">
      <c r="A138" s="57" t="inlineStr">
        <is>
          <t>Thoracic endovascular aortic repair (TEVAR)</t>
        </is>
      </c>
      <c r="B138" s="57" t="inlineStr">
        <is>
          <t>endoleak</t>
        </is>
      </c>
      <c r="C138" s="57" t="inlineStr">
        <is>
          <t>Core candidate</t>
        </is>
      </c>
      <c r="D138" s="57" t="inlineStr">
        <is>
          <t>Rates depend on indication, coverage and case mix; no universal rate supplied</t>
        </is>
      </c>
      <c r="E138" s="57" t="inlineStr">
        <is>
          <t>[18] Gupta et al. CIRSE Standards of Practice on the Endovascular Management of Descending Thoracic Aortic Disease. 2026; DOI 10.1007/s00270-026-04477-5; PMID 42545482. [19] SIR practice parameter for endovascular treatment of thoracic aortic aneurysms, 2010; SIR guideline index</t>
        </is>
      </c>
      <c r="F138" s="59" t="inlineStr"/>
      <c r="G138" s="59" t="inlineStr"/>
      <c r="H138" s="59" t="inlineStr"/>
      <c r="I138" s="59" t="inlineStr"/>
      <c r="J138" s="59" t="inlineStr"/>
      <c r="K138" s="59" t="inlineStr"/>
      <c r="L138" s="59" t="inlineStr"/>
      <c r="M138" s="59" t="inlineStr"/>
      <c r="N138" s="57">
        <f>COUNT(F138:M138)</f>
        <v/>
      </c>
      <c r="O138" s="60">
        <f>IF(N138=0,"",COUNTIF(F138:M138,"&gt;=4")/N138)</f>
        <v/>
      </c>
      <c r="P138" s="60">
        <f>IF(N138=0,"",COUNTIF(F138:M138,"&lt;=2")/N138)</f>
        <v/>
      </c>
      <c r="Q138" s="57">
        <f>IF(N138=0,"",MEDIAN(F138:M138))</f>
        <v/>
      </c>
      <c r="R138" s="61">
        <f>IF(N138=0,"Not scored",IF(O138&gt;=0.8,"Include",IF(P138&gt;=0.8,"Exclude","Round 2")))</f>
        <v/>
      </c>
      <c r="S138" s="57" t="inlineStr"/>
      <c r="T138" s="57" t="inlineStr"/>
    </row>
    <row r="139">
      <c r="A139" s="57" t="inlineStr">
        <is>
          <t>Thoracic endovascular aortic repair (TEVAR)</t>
        </is>
      </c>
      <c r="B139" s="57" t="inlineStr">
        <is>
          <t>retrograde dissection</t>
        </is>
      </c>
      <c r="C139" s="57" t="inlineStr">
        <is>
          <t>Core candidate</t>
        </is>
      </c>
      <c r="D139" s="57" t="inlineStr">
        <is>
          <t>Rates depend on indication, coverage and case mix; no universal rate supplied</t>
        </is>
      </c>
      <c r="E139" s="57" t="inlineStr">
        <is>
          <t>[18] Gupta et al. CIRSE Standards of Practice on the Endovascular Management of Descending Thoracic Aortic Disease. 2026; DOI 10.1007/s00270-026-04477-5; PMID 42545482. [19] SIR practice parameter for endovascular treatment of thoracic aortic aneurysms, 2010; SIR guideline index</t>
        </is>
      </c>
      <c r="F139" s="59" t="inlineStr"/>
      <c r="G139" s="59" t="inlineStr"/>
      <c r="H139" s="59" t="inlineStr"/>
      <c r="I139" s="59" t="inlineStr"/>
      <c r="J139" s="59" t="inlineStr"/>
      <c r="K139" s="59" t="inlineStr"/>
      <c r="L139" s="59" t="inlineStr"/>
      <c r="M139" s="59" t="inlineStr"/>
      <c r="N139" s="57">
        <f>COUNT(F139:M139)</f>
        <v/>
      </c>
      <c r="O139" s="60">
        <f>IF(N139=0,"",COUNTIF(F139:M139,"&gt;=4")/N139)</f>
        <v/>
      </c>
      <c r="P139" s="60">
        <f>IF(N139=0,"",COUNTIF(F139:M139,"&lt;=2")/N139)</f>
        <v/>
      </c>
      <c r="Q139" s="57">
        <f>IF(N139=0,"",MEDIAN(F139:M139))</f>
        <v/>
      </c>
      <c r="R139" s="61">
        <f>IF(N139=0,"Not scored",IF(O139&gt;=0.8,"Include",IF(P139&gt;=0.8,"Exclude","Round 2")))</f>
        <v/>
      </c>
      <c r="S139" s="57" t="inlineStr"/>
      <c r="T139" s="57" t="inlineStr"/>
    </row>
    <row r="140">
      <c r="A140" s="57" t="inlineStr">
        <is>
          <t>Thoracic endovascular aortic repair (TEVAR)</t>
        </is>
      </c>
      <c r="B140" s="57" t="inlineStr">
        <is>
          <t>graft failure</t>
        </is>
      </c>
      <c r="C140" s="57" t="inlineStr">
        <is>
          <t>Core candidate</t>
        </is>
      </c>
      <c r="D140" s="57" t="inlineStr">
        <is>
          <t>Rates depend on indication, coverage and case mix; no universal rate supplied</t>
        </is>
      </c>
      <c r="E140" s="57" t="inlineStr">
        <is>
          <t>[18] Gupta et al. CIRSE Standards of Practice on the Endovascular Management of Descending Thoracic Aortic Disease. 2026; DOI 10.1007/s00270-026-04477-5; PMID 42545482. [19] SIR practice parameter for endovascular treatment of thoracic aortic aneurysms, 2010; SIR guideline index</t>
        </is>
      </c>
      <c r="F140" s="59" t="inlineStr"/>
      <c r="G140" s="59" t="inlineStr"/>
      <c r="H140" s="59" t="inlineStr"/>
      <c r="I140" s="59" t="inlineStr"/>
      <c r="J140" s="59" t="inlineStr"/>
      <c r="K140" s="59" t="inlineStr"/>
      <c r="L140" s="59" t="inlineStr"/>
      <c r="M140" s="59" t="inlineStr"/>
      <c r="N140" s="57">
        <f>COUNT(F140:M140)</f>
        <v/>
      </c>
      <c r="O140" s="60">
        <f>IF(N140=0,"",COUNTIF(F140:M140,"&gt;=4")/N140)</f>
        <v/>
      </c>
      <c r="P140" s="60">
        <f>IF(N140=0,"",COUNTIF(F140:M140,"&lt;=2")/N140)</f>
        <v/>
      </c>
      <c r="Q140" s="57">
        <f>IF(N140=0,"",MEDIAN(F140:M140))</f>
        <v/>
      </c>
      <c r="R140" s="61">
        <f>IF(N140=0,"Not scored",IF(O140&gt;=0.8,"Include",IF(P140&gt;=0.8,"Exclude","Round 2")))</f>
        <v/>
      </c>
      <c r="S140" s="57" t="inlineStr"/>
      <c r="T140" s="57" t="inlineStr"/>
    </row>
    <row r="141">
      <c r="A141" s="57" t="inlineStr">
        <is>
          <t>Thoracic endovascular aortic repair (TEVAR)</t>
        </is>
      </c>
      <c r="B141" s="57" t="inlineStr">
        <is>
          <t>renal/visceral/limb malperfusion</t>
        </is>
      </c>
      <c r="C141" s="57" t="inlineStr">
        <is>
          <t>Core candidate</t>
        </is>
      </c>
      <c r="D141" s="57" t="inlineStr">
        <is>
          <t>Rates depend on indication, coverage and case mix; no universal rate supplied</t>
        </is>
      </c>
      <c r="E141" s="57" t="inlineStr">
        <is>
          <t>[18] Gupta et al. CIRSE Standards of Practice on the Endovascular Management of Descending Thoracic Aortic Disease. 2026; DOI 10.1007/s00270-026-04477-5; PMID 42545482. [19] SIR practice parameter for endovascular treatment of thoracic aortic aneurysms, 2010; SIR guideline index</t>
        </is>
      </c>
      <c r="F141" s="59" t="inlineStr"/>
      <c r="G141" s="59" t="inlineStr"/>
      <c r="H141" s="59" t="inlineStr"/>
      <c r="I141" s="59" t="inlineStr"/>
      <c r="J141" s="59" t="inlineStr"/>
      <c r="K141" s="59" t="inlineStr"/>
      <c r="L141" s="59" t="inlineStr"/>
      <c r="M141" s="59" t="inlineStr"/>
      <c r="N141" s="57">
        <f>COUNT(F141:M141)</f>
        <v/>
      </c>
      <c r="O141" s="60">
        <f>IF(N141=0,"",COUNTIF(F141:M141,"&gt;=4")/N141)</f>
        <v/>
      </c>
      <c r="P141" s="60">
        <f>IF(N141=0,"",COUNTIF(F141:M141,"&lt;=2")/N141)</f>
        <v/>
      </c>
      <c r="Q141" s="57">
        <f>IF(N141=0,"",MEDIAN(F141:M141))</f>
        <v/>
      </c>
      <c r="R141" s="61">
        <f>IF(N141=0,"Not scored",IF(O141&gt;=0.8,"Include",IF(P141&gt;=0.8,"Exclude","Round 2")))</f>
        <v/>
      </c>
      <c r="S141" s="57" t="inlineStr"/>
      <c r="T141" s="57" t="inlineStr"/>
    </row>
    <row r="142">
      <c r="A142" s="57" t="inlineStr">
        <is>
          <t>Thoracic endovascular aortic repair (TEVAR)</t>
        </is>
      </c>
      <c r="B142" s="57" t="inlineStr">
        <is>
          <t>Spinal cord ischaemia/paraplegia</t>
        </is>
      </c>
      <c r="C142" s="57" t="inlineStr">
        <is>
          <t>Core candidate</t>
        </is>
      </c>
      <c r="D142" s="57" t="inlineStr">
        <is>
          <t>Rates depend on indication, coverage and case mix; no universal rate supplied</t>
        </is>
      </c>
      <c r="E142" s="57" t="inlineStr">
        <is>
          <t>[18] Gupta et al. CIRSE Standards of Practice on the Endovascular Management of Descending Thoracic Aortic Disease. 2026; DOI 10.1007/s00270-026-04477-5; PMID 42545482. [19] SIR practice parameter for endovascular treatment of thoracic aortic aneurysms, 2010; SIR guideline index</t>
        </is>
      </c>
      <c r="F142" s="59" t="inlineStr"/>
      <c r="G142" s="59" t="inlineStr"/>
      <c r="H142" s="59" t="inlineStr"/>
      <c r="I142" s="59" t="inlineStr"/>
      <c r="J142" s="59" t="inlineStr"/>
      <c r="K142" s="59" t="inlineStr"/>
      <c r="L142" s="59" t="inlineStr"/>
      <c r="M142" s="59" t="inlineStr"/>
      <c r="N142" s="57">
        <f>COUNT(F142:M142)</f>
        <v/>
      </c>
      <c r="O142" s="60">
        <f>IF(N142=0,"",COUNTIF(F142:M142,"&gt;=4")/N142)</f>
        <v/>
      </c>
      <c r="P142" s="60">
        <f>IF(N142=0,"",COUNTIF(F142:M142,"&lt;=2")/N142)</f>
        <v/>
      </c>
      <c r="Q142" s="57">
        <f>IF(N142=0,"",MEDIAN(F142:M142))</f>
        <v/>
      </c>
      <c r="R142" s="61">
        <f>IF(N142=0,"Not scored",IF(O142&gt;=0.8,"Include",IF(P142&gt;=0.8,"Exclude","Round 2")))</f>
        <v/>
      </c>
      <c r="S142" s="57" t="inlineStr"/>
      <c r="T142" s="57" t="inlineStr"/>
    </row>
    <row r="143">
      <c r="A143" s="57" t="inlineStr">
        <is>
          <t>Thoracic endovascular aortic repair (TEVAR)</t>
        </is>
      </c>
      <c r="B143" s="57" t="inlineStr">
        <is>
          <t>aortic rupture/death</t>
        </is>
      </c>
      <c r="C143" s="57" t="inlineStr">
        <is>
          <t>Core candidate</t>
        </is>
      </c>
      <c r="D143" s="57" t="inlineStr">
        <is>
          <t>Rates depend on indication, coverage and case mix; no universal rate supplied</t>
        </is>
      </c>
      <c r="E143" s="57" t="inlineStr">
        <is>
          <t>[18] Gupta et al. CIRSE Standards of Practice on the Endovascular Management of Descending Thoracic Aortic Disease. 2026; DOI 10.1007/s00270-026-04477-5; PMID 42545482. [19] SIR practice parameter for endovascular treatment of thoracic aortic aneurysms, 2010; SIR guideline index</t>
        </is>
      </c>
      <c r="F143" s="59" t="inlineStr"/>
      <c r="G143" s="59" t="inlineStr"/>
      <c r="H143" s="59" t="inlineStr"/>
      <c r="I143" s="59" t="inlineStr"/>
      <c r="J143" s="59" t="inlineStr"/>
      <c r="K143" s="59" t="inlineStr"/>
      <c r="L143" s="59" t="inlineStr"/>
      <c r="M143" s="59" t="inlineStr"/>
      <c r="N143" s="57">
        <f>COUNT(F143:M143)</f>
        <v/>
      </c>
      <c r="O143" s="60">
        <f>IF(N143=0,"",COUNTIF(F143:M143,"&gt;=4")/N143)</f>
        <v/>
      </c>
      <c r="P143" s="60">
        <f>IF(N143=0,"",COUNTIF(F143:M143,"&lt;=2")/N143)</f>
        <v/>
      </c>
      <c r="Q143" s="57">
        <f>IF(N143=0,"",MEDIAN(F143:M143))</f>
        <v/>
      </c>
      <c r="R143" s="61">
        <f>IF(N143=0,"Not scored",IF(O143&gt;=0.8,"Include",IF(P143&gt;=0.8,"Exclude","Round 2")))</f>
        <v/>
      </c>
      <c r="S143" s="57" t="inlineStr"/>
      <c r="T143" s="57" t="inlineStr"/>
    </row>
    <row r="144">
      <c r="A144" s="57" t="inlineStr">
        <is>
          <t>Thoracic endovascular aortic repair (TEVAR)</t>
        </is>
      </c>
      <c r="B144" s="57" t="inlineStr">
        <is>
          <t>Iliac/femoral injury, bleeding, rupture or limb ischaemia</t>
        </is>
      </c>
      <c r="C144" s="57" t="inlineStr">
        <is>
          <t>Core candidate</t>
        </is>
      </c>
      <c r="D144" s="57" t="inlineStr">
        <is>
          <t>Rates depend on indication, coverage and case mix; no universal rate supplied</t>
        </is>
      </c>
      <c r="E144" s="57" t="inlineStr">
        <is>
          <t>[18] Gupta et al. CIRSE Standards of Practice on the Endovascular Management of Descending Thoracic Aortic Disease. 2026; DOI 10.1007/s00270-026-04477-5; PMID 42545482. [19] SIR practice parameter for endovascular treatment of thoracic aortic aneurysms, 2010; SIR guideline index</t>
        </is>
      </c>
      <c r="F144" s="59" t="inlineStr"/>
      <c r="G144" s="59" t="inlineStr"/>
      <c r="H144" s="59" t="inlineStr"/>
      <c r="I144" s="59" t="inlineStr"/>
      <c r="J144" s="59" t="inlineStr"/>
      <c r="K144" s="59" t="inlineStr"/>
      <c r="L144" s="59" t="inlineStr"/>
      <c r="M144" s="59" t="inlineStr"/>
      <c r="N144" s="57">
        <f>COUNT(F144:M144)</f>
        <v/>
      </c>
      <c r="O144" s="60">
        <f>IF(N144=0,"",COUNTIF(F144:M144,"&gt;=4")/N144)</f>
        <v/>
      </c>
      <c r="P144" s="60">
        <f>IF(N144=0,"",COUNTIF(F144:M144,"&lt;=2")/N144)</f>
        <v/>
      </c>
      <c r="Q144" s="57">
        <f>IF(N144=0,"",MEDIAN(F144:M144))</f>
        <v/>
      </c>
      <c r="R144" s="61">
        <f>IF(N144=0,"Not scored",IF(O144&gt;=0.8,"Include",IF(P144&gt;=0.8,"Exclude","Round 2")))</f>
        <v/>
      </c>
      <c r="S144" s="57" t="inlineStr"/>
      <c r="T144" s="57" t="inlineStr"/>
    </row>
    <row r="145">
      <c r="A145" s="57" t="inlineStr">
        <is>
          <t>Thoracic endovascular aortic repair (TEVAR)</t>
        </is>
      </c>
      <c r="B145" s="57" t="inlineStr">
        <is>
          <t>Contrast reaction/AKI and radiation</t>
        </is>
      </c>
      <c r="C145" s="57" t="inlineStr">
        <is>
          <t>Conditional / patient-specific</t>
        </is>
      </c>
      <c r="D145" s="57" t="inlineStr">
        <is>
          <t>Rates depend on indication, coverage and case mix; no universal rate supplied</t>
        </is>
      </c>
      <c r="E145" s="57" t="inlineStr">
        <is>
          <t>[18] Gupta et al. CIRSE Standards of Practice on the Endovascular Management of Descending Thoracic Aortic Disease. 2026; DOI 10.1007/s00270-026-04477-5; PMID 42545482. [19] SIR practice parameter for endovascular treatment of thoracic aortic aneurysms, 2010; SIR guideline index</t>
        </is>
      </c>
      <c r="F145" s="59" t="inlineStr"/>
      <c r="G145" s="59" t="inlineStr"/>
      <c r="H145" s="59" t="inlineStr"/>
      <c r="I145" s="59" t="inlineStr"/>
      <c r="J145" s="59" t="inlineStr"/>
      <c r="K145" s="59" t="inlineStr"/>
      <c r="L145" s="59" t="inlineStr"/>
      <c r="M145" s="59" t="inlineStr"/>
      <c r="N145" s="57">
        <f>COUNT(F145:M145)</f>
        <v/>
      </c>
      <c r="O145" s="60">
        <f>IF(N145=0,"",COUNTIF(F145:M145,"&gt;=4")/N145)</f>
        <v/>
      </c>
      <c r="P145" s="60">
        <f>IF(N145=0,"",COUNTIF(F145:M145,"&lt;=2")/N145)</f>
        <v/>
      </c>
      <c r="Q145" s="57">
        <f>IF(N145=0,"",MEDIAN(F145:M145))</f>
        <v/>
      </c>
      <c r="R145" s="61">
        <f>IF(N145=0,"Not scored",IF(O145&gt;=0.8,"Include",IF(P145&gt;=0.8,"Exclude","Round 2")))</f>
        <v/>
      </c>
      <c r="S145" s="57" t="inlineStr"/>
      <c r="T145" s="57" t="inlineStr"/>
    </row>
    <row r="146">
      <c r="A146" s="57" t="inlineStr">
        <is>
          <t>Thoracic endovascular aortic repair (TEVAR)</t>
        </is>
      </c>
      <c r="B146" s="57" t="inlineStr">
        <is>
          <t>Aortic coverage length, collateral circulation, previous repair, indication, access anatomy</t>
        </is>
      </c>
      <c r="C146" s="57" t="inlineStr">
        <is>
          <t>Conditional / patient-specific</t>
        </is>
      </c>
      <c r="D146" s="57" t="inlineStr">
        <is>
          <t>Rates depend on indication, coverage and case mix; no universal rate supplied</t>
        </is>
      </c>
      <c r="E146" s="57" t="inlineStr">
        <is>
          <t>[18] Gupta et al. CIRSE Standards of Practice on the Endovascular Management of Descending Thoracic Aortic Disease. 2026; DOI 10.1007/s00270-026-04477-5; PMID 42545482. [19] SIR practice parameter for endovascular treatment of thoracic aortic aneurysms, 2010; SIR guideline index</t>
        </is>
      </c>
      <c r="F146" s="59" t="inlineStr"/>
      <c r="G146" s="59" t="inlineStr"/>
      <c r="H146" s="59" t="inlineStr"/>
      <c r="I146" s="59" t="inlineStr"/>
      <c r="J146" s="59" t="inlineStr"/>
      <c r="K146" s="59" t="inlineStr"/>
      <c r="L146" s="59" t="inlineStr"/>
      <c r="M146" s="59" t="inlineStr"/>
      <c r="N146" s="57">
        <f>COUNT(F146:M146)</f>
        <v/>
      </c>
      <c r="O146" s="60">
        <f>IF(N146=0,"",COUNTIF(F146:M146,"&gt;=4")/N146)</f>
        <v/>
      </c>
      <c r="P146" s="60">
        <f>IF(N146=0,"",COUNTIF(F146:M146,"&lt;=2")/N146)</f>
        <v/>
      </c>
      <c r="Q146" s="57">
        <f>IF(N146=0,"",MEDIAN(F146:M146))</f>
        <v/>
      </c>
      <c r="R146" s="61">
        <f>IF(N146=0,"Not scored",IF(O146&gt;=0.8,"Include",IF(P146&gt;=0.8,"Exclude","Round 2")))</f>
        <v/>
      </c>
      <c r="S146" s="57" t="inlineStr"/>
      <c r="T146" s="57" t="inlineStr"/>
    </row>
    <row r="147">
      <c r="A147" s="57" t="inlineStr">
        <is>
          <t>Thrombolysis of dialysis access</t>
        </is>
      </c>
      <c r="B147" s="57" t="inlineStr">
        <is>
          <t>Access bleeding/haematoma</t>
        </is>
      </c>
      <c r="C147" s="57" t="inlineStr">
        <is>
          <t>Core candidate</t>
        </is>
      </c>
      <c r="D147" s="57" t="inlineStr">
        <is>
          <t>No universal rate verified; thrombolytic-specific risks depend on drug and case selection</t>
        </is>
      </c>
      <c r="E147" s="57" t="inlineStr">
        <is>
          <t>[20] ACR-SIR Practice Parameter for Endovascular Management of the Thrombosed or Dysfunctional Dialysis Access; current online version [21] UK Kidney Association Clinical Practice Guideline on vascular access for haemodialysis. 2025</t>
        </is>
      </c>
      <c r="F147" s="59" t="inlineStr"/>
      <c r="G147" s="59" t="inlineStr"/>
      <c r="H147" s="59" t="inlineStr"/>
      <c r="I147" s="59" t="inlineStr"/>
      <c r="J147" s="59" t="inlineStr"/>
      <c r="K147" s="59" t="inlineStr"/>
      <c r="L147" s="59" t="inlineStr"/>
      <c r="M147" s="59" t="inlineStr"/>
      <c r="N147" s="57">
        <f>COUNT(F147:M147)</f>
        <v/>
      </c>
      <c r="O147" s="60">
        <f>IF(N147=0,"",COUNTIF(F147:M147,"&gt;=4")/N147)</f>
        <v/>
      </c>
      <c r="P147" s="60">
        <f>IF(N147=0,"",COUNTIF(F147:M147,"&lt;=2")/N147)</f>
        <v/>
      </c>
      <c r="Q147" s="57">
        <f>IF(N147=0,"",MEDIAN(F147:M147))</f>
        <v/>
      </c>
      <c r="R147" s="61">
        <f>IF(N147=0,"Not scored",IF(O147&gt;=0.8,"Include",IF(P147&gt;=0.8,"Exclude","Round 2")))</f>
        <v/>
      </c>
      <c r="S147" s="57" t="inlineStr"/>
      <c r="T147" s="57" t="inlineStr"/>
    </row>
    <row r="148">
      <c r="A148" s="57" t="inlineStr">
        <is>
          <t>Thrombolysis of dialysis access</t>
        </is>
      </c>
      <c r="B148" s="57" t="inlineStr">
        <is>
          <t>failure or early rethrombosis</t>
        </is>
      </c>
      <c r="C148" s="57" t="inlineStr">
        <is>
          <t>Core candidate</t>
        </is>
      </c>
      <c r="D148" s="57" t="inlineStr">
        <is>
          <t>No universal rate verified; thrombolytic-specific risks depend on drug and case selection</t>
        </is>
      </c>
      <c r="E148" s="57" t="inlineStr">
        <is>
          <t>[20] ACR-SIR Practice Parameter for Endovascular Management of the Thrombosed or Dysfunctional Dialysis Access; current online version [21] UK Kidney Association Clinical Practice Guideline on vascular access for haemodialysis. 2025</t>
        </is>
      </c>
      <c r="F148" s="59" t="inlineStr"/>
      <c r="G148" s="59" t="inlineStr"/>
      <c r="H148" s="59" t="inlineStr"/>
      <c r="I148" s="59" t="inlineStr"/>
      <c r="J148" s="59" t="inlineStr"/>
      <c r="K148" s="59" t="inlineStr"/>
      <c r="L148" s="59" t="inlineStr"/>
      <c r="M148" s="59" t="inlineStr"/>
      <c r="N148" s="57">
        <f>COUNT(F148:M148)</f>
        <v/>
      </c>
      <c r="O148" s="60">
        <f>IF(N148=0,"",COUNTIF(F148:M148,"&gt;=4")/N148)</f>
        <v/>
      </c>
      <c r="P148" s="60">
        <f>IF(N148=0,"",COUNTIF(F148:M148,"&lt;=2")/N148)</f>
        <v/>
      </c>
      <c r="Q148" s="57">
        <f>IF(N148=0,"",MEDIAN(F148:M148))</f>
        <v/>
      </c>
      <c r="R148" s="61">
        <f>IF(N148=0,"Not scored",IF(O148&gt;=0.8,"Include",IF(P148&gt;=0.8,"Exclude","Round 2")))</f>
        <v/>
      </c>
      <c r="S148" s="57" t="inlineStr"/>
      <c r="T148" s="57" t="inlineStr"/>
    </row>
    <row r="149">
      <c r="A149" s="57" t="inlineStr">
        <is>
          <t>Thrombolysis of dialysis access</t>
        </is>
      </c>
      <c r="B149" s="57" t="inlineStr">
        <is>
          <t>Access rupture/extravasation</t>
        </is>
      </c>
      <c r="C149" s="57" t="inlineStr">
        <is>
          <t>Core candidate</t>
        </is>
      </c>
      <c r="D149" s="57" t="inlineStr">
        <is>
          <t>No universal rate verified; thrombolytic-specific risks depend on drug and case selection</t>
        </is>
      </c>
      <c r="E149" s="57" t="inlineStr">
        <is>
          <t>[20] ACR-SIR Practice Parameter for Endovascular Management of the Thrombosed or Dysfunctional Dialysis Access; current online version [21] UK Kidney Association Clinical Practice Guideline on vascular access for haemodialysis. 2025</t>
        </is>
      </c>
      <c r="F149" s="59" t="inlineStr"/>
      <c r="G149" s="59" t="inlineStr"/>
      <c r="H149" s="59" t="inlineStr"/>
      <c r="I149" s="59" t="inlineStr"/>
      <c r="J149" s="59" t="inlineStr"/>
      <c r="K149" s="59" t="inlineStr"/>
      <c r="L149" s="59" t="inlineStr"/>
      <c r="M149" s="59" t="inlineStr"/>
      <c r="N149" s="57">
        <f>COUNT(F149:M149)</f>
        <v/>
      </c>
      <c r="O149" s="60">
        <f>IF(N149=0,"",COUNTIF(F149:M149,"&gt;=4")/N149)</f>
        <v/>
      </c>
      <c r="P149" s="60">
        <f>IF(N149=0,"",COUNTIF(F149:M149,"&lt;=2")/N149)</f>
        <v/>
      </c>
      <c r="Q149" s="57">
        <f>IF(N149=0,"",MEDIAN(F149:M149))</f>
        <v/>
      </c>
      <c r="R149" s="61">
        <f>IF(N149=0,"Not scored",IF(O149&gt;=0.8,"Include",IF(P149&gt;=0.8,"Exclude","Round 2")))</f>
        <v/>
      </c>
      <c r="S149" s="57" t="inlineStr"/>
      <c r="T149" s="57" t="inlineStr"/>
    </row>
    <row r="150">
      <c r="A150" s="57" t="inlineStr">
        <is>
          <t>Thrombolysis of dialysis access</t>
        </is>
      </c>
      <c r="B150" s="57" t="inlineStr">
        <is>
          <t>distal embolisation/hand ischaemia</t>
        </is>
      </c>
      <c r="C150" s="57" t="inlineStr">
        <is>
          <t>Core candidate</t>
        </is>
      </c>
      <c r="D150" s="57" t="inlineStr">
        <is>
          <t>No universal rate verified; thrombolytic-specific risks depend on drug and case selection</t>
        </is>
      </c>
      <c r="E150" s="57" t="inlineStr">
        <is>
          <t>[20] ACR-SIR Practice Parameter for Endovascular Management of the Thrombosed or Dysfunctional Dialysis Access; current online version [21] UK Kidney Association Clinical Practice Guideline on vascular access for haemodialysis. 2025</t>
        </is>
      </c>
      <c r="F150" s="59" t="inlineStr"/>
      <c r="G150" s="59" t="inlineStr"/>
      <c r="H150" s="59" t="inlineStr"/>
      <c r="I150" s="59" t="inlineStr"/>
      <c r="J150" s="59" t="inlineStr"/>
      <c r="K150" s="59" t="inlineStr"/>
      <c r="L150" s="59" t="inlineStr"/>
      <c r="M150" s="59" t="inlineStr"/>
      <c r="N150" s="57">
        <f>COUNT(F150:M150)</f>
        <v/>
      </c>
      <c r="O150" s="60">
        <f>IF(N150=0,"",COUNTIF(F150:M150,"&gt;=4")/N150)</f>
        <v/>
      </c>
      <c r="P150" s="60">
        <f>IF(N150=0,"",COUNTIF(F150:M150,"&lt;=2")/N150)</f>
        <v/>
      </c>
      <c r="Q150" s="57">
        <f>IF(N150=0,"",MEDIAN(F150:M150))</f>
        <v/>
      </c>
      <c r="R150" s="61">
        <f>IF(N150=0,"Not scored",IF(O150&gt;=0.8,"Include",IF(P150&gt;=0.8,"Exclude","Round 2")))</f>
        <v/>
      </c>
      <c r="S150" s="57" t="inlineStr"/>
      <c r="T150" s="57" t="inlineStr"/>
    </row>
    <row r="151">
      <c r="A151" s="57" t="inlineStr">
        <is>
          <t>Thrombolysis of dialysis access</t>
        </is>
      </c>
      <c r="B151" s="57" t="inlineStr">
        <is>
          <t>repeat treatment</t>
        </is>
      </c>
      <c r="C151" s="57" t="inlineStr">
        <is>
          <t>Core candidate</t>
        </is>
      </c>
      <c r="D151" s="57" t="inlineStr">
        <is>
          <t>No universal rate verified; thrombolytic-specific risks depend on drug and case selection</t>
        </is>
      </c>
      <c r="E151" s="57" t="inlineStr">
        <is>
          <t>[20] ACR-SIR Practice Parameter for Endovascular Management of the Thrombosed or Dysfunctional Dialysis Access; current online version [21] UK Kidney Association Clinical Practice Guideline on vascular access for haemodialysis. 2025</t>
        </is>
      </c>
      <c r="F151" s="59" t="inlineStr"/>
      <c r="G151" s="59" t="inlineStr"/>
      <c r="H151" s="59" t="inlineStr"/>
      <c r="I151" s="59" t="inlineStr"/>
      <c r="J151" s="59" t="inlineStr"/>
      <c r="K151" s="59" t="inlineStr"/>
      <c r="L151" s="59" t="inlineStr"/>
      <c r="M151" s="59" t="inlineStr"/>
      <c r="N151" s="57">
        <f>COUNT(F151:M151)</f>
        <v/>
      </c>
      <c r="O151" s="60">
        <f>IF(N151=0,"",COUNTIF(F151:M151,"&gt;=4")/N151)</f>
        <v/>
      </c>
      <c r="P151" s="60">
        <f>IF(N151=0,"",COUNTIF(F151:M151,"&lt;=2")/N151)</f>
        <v/>
      </c>
      <c r="Q151" s="57">
        <f>IF(N151=0,"",MEDIAN(F151:M151))</f>
        <v/>
      </c>
      <c r="R151" s="61">
        <f>IF(N151=0,"Not scored",IF(O151&gt;=0.8,"Include",IF(P151&gt;=0.8,"Exclude","Round 2")))</f>
        <v/>
      </c>
      <c r="S151" s="57" t="inlineStr"/>
      <c r="T151" s="57" t="inlineStr"/>
    </row>
    <row r="152">
      <c r="A152" s="57" t="inlineStr">
        <is>
          <t>Thrombolysis of dialysis access</t>
        </is>
      </c>
      <c r="B152" s="57" t="inlineStr">
        <is>
          <t>Systemic haemorrhage including intracranial bleeding when thrombolytic used</t>
        </is>
      </c>
      <c r="C152" s="57" t="inlineStr">
        <is>
          <t>Core candidate</t>
        </is>
      </c>
      <c r="D152" s="57" t="inlineStr">
        <is>
          <t>No universal rate verified; thrombolytic-specific risks depend on drug and case selection</t>
        </is>
      </c>
      <c r="E152" s="57" t="inlineStr">
        <is>
          <t>[20] ACR-SIR Practice Parameter for Endovascular Management of the Thrombosed or Dysfunctional Dialysis Access; current online version [21] UK Kidney Association Clinical Practice Guideline on vascular access for haemodialysis. 2025</t>
        </is>
      </c>
      <c r="F152" s="59" t="inlineStr"/>
      <c r="G152" s="59" t="inlineStr"/>
      <c r="H152" s="59" t="inlineStr"/>
      <c r="I152" s="59" t="inlineStr"/>
      <c r="J152" s="59" t="inlineStr"/>
      <c r="K152" s="59" t="inlineStr"/>
      <c r="L152" s="59" t="inlineStr"/>
      <c r="M152" s="59" t="inlineStr"/>
      <c r="N152" s="57">
        <f>COUNT(F152:M152)</f>
        <v/>
      </c>
      <c r="O152" s="60">
        <f>IF(N152=0,"",COUNTIF(F152:M152,"&gt;=4")/N152)</f>
        <v/>
      </c>
      <c r="P152" s="60">
        <f>IF(N152=0,"",COUNTIF(F152:M152,"&lt;=2")/N152)</f>
        <v/>
      </c>
      <c r="Q152" s="57">
        <f>IF(N152=0,"",MEDIAN(F152:M152))</f>
        <v/>
      </c>
      <c r="R152" s="61">
        <f>IF(N152=0,"Not scored",IF(O152&gt;=0.8,"Include",IF(P152&gt;=0.8,"Exclude","Round 2")))</f>
        <v/>
      </c>
      <c r="S152" s="57" t="inlineStr"/>
      <c r="T152" s="57" t="inlineStr"/>
    </row>
    <row r="153">
      <c r="A153" s="57" t="inlineStr">
        <is>
          <t>Thrombolysis of dialysis access</t>
        </is>
      </c>
      <c r="B153" s="57" t="inlineStr">
        <is>
          <t>permanent access loss</t>
        </is>
      </c>
      <c r="C153" s="57" t="inlineStr">
        <is>
          <t>Core candidate</t>
        </is>
      </c>
      <c r="D153" s="57" t="inlineStr">
        <is>
          <t>No universal rate verified; thrombolytic-specific risks depend on drug and case selection</t>
        </is>
      </c>
      <c r="E153" s="57" t="inlineStr">
        <is>
          <t>[20] ACR-SIR Practice Parameter for Endovascular Management of the Thrombosed or Dysfunctional Dialysis Access; current online version [21] UK Kidney Association Clinical Practice Guideline on vascular access for haemodialysis. 2025</t>
        </is>
      </c>
      <c r="F153" s="59" t="inlineStr"/>
      <c r="G153" s="59" t="inlineStr"/>
      <c r="H153" s="59" t="inlineStr"/>
      <c r="I153" s="59" t="inlineStr"/>
      <c r="J153" s="59" t="inlineStr"/>
      <c r="K153" s="59" t="inlineStr"/>
      <c r="L153" s="59" t="inlineStr"/>
      <c r="M153" s="59" t="inlineStr"/>
      <c r="N153" s="57">
        <f>COUNT(F153:M153)</f>
        <v/>
      </c>
      <c r="O153" s="60">
        <f>IF(N153=0,"",COUNTIF(F153:M153,"&gt;=4")/N153)</f>
        <v/>
      </c>
      <c r="P153" s="60">
        <f>IF(N153=0,"",COUNTIF(F153:M153,"&lt;=2")/N153)</f>
        <v/>
      </c>
      <c r="Q153" s="57">
        <f>IF(N153=0,"",MEDIAN(F153:M153))</f>
        <v/>
      </c>
      <c r="R153" s="61">
        <f>IF(N153=0,"Not scored",IF(O153&gt;=0.8,"Include",IF(P153&gt;=0.8,"Exclude","Round 2")))</f>
        <v/>
      </c>
      <c r="S153" s="57" t="inlineStr"/>
      <c r="T153" s="57" t="inlineStr"/>
    </row>
    <row r="154">
      <c r="A154" s="57" t="inlineStr">
        <is>
          <t>Thrombolysis of dialysis access</t>
        </is>
      </c>
      <c r="B154" s="57" t="inlineStr">
        <is>
          <t>Access puncture bleeding, haematoma, vessel injury</t>
        </is>
      </c>
      <c r="C154" s="57" t="inlineStr">
        <is>
          <t>Core candidate</t>
        </is>
      </c>
      <c r="D154" s="57" t="inlineStr">
        <is>
          <t>No universal rate verified; thrombolytic-specific risks depend on drug and case selection</t>
        </is>
      </c>
      <c r="E154" s="57" t="inlineStr">
        <is>
          <t>[20] ACR-SIR Practice Parameter for Endovascular Management of the Thrombosed or Dysfunctional Dialysis Access; current online version [21] UK Kidney Association Clinical Practice Guideline on vascular access for haemodialysis. 2025</t>
        </is>
      </c>
      <c r="F154" s="59" t="inlineStr"/>
      <c r="G154" s="59" t="inlineStr"/>
      <c r="H154" s="59" t="inlineStr"/>
      <c r="I154" s="59" t="inlineStr"/>
      <c r="J154" s="59" t="inlineStr"/>
      <c r="K154" s="59" t="inlineStr"/>
      <c r="L154" s="59" t="inlineStr"/>
      <c r="M154" s="59" t="inlineStr"/>
      <c r="N154" s="57">
        <f>COUNT(F154:M154)</f>
        <v/>
      </c>
      <c r="O154" s="60">
        <f>IF(N154=0,"",COUNTIF(F154:M154,"&gt;=4")/N154)</f>
        <v/>
      </c>
      <c r="P154" s="60">
        <f>IF(N154=0,"",COUNTIF(F154:M154,"&lt;=2")/N154)</f>
        <v/>
      </c>
      <c r="Q154" s="57">
        <f>IF(N154=0,"",MEDIAN(F154:M154))</f>
        <v/>
      </c>
      <c r="R154" s="61">
        <f>IF(N154=0,"Not scored",IF(O154&gt;=0.8,"Include",IF(P154&gt;=0.8,"Exclude","Round 2")))</f>
        <v/>
      </c>
      <c r="S154" s="57" t="inlineStr"/>
      <c r="T154" s="57" t="inlineStr"/>
    </row>
    <row r="155">
      <c r="A155" s="57" t="inlineStr">
        <is>
          <t>Thrombolysis of dialysis access</t>
        </is>
      </c>
      <c r="B155" s="57" t="inlineStr">
        <is>
          <t>Contrast reaction/AKI as relevant</t>
        </is>
      </c>
      <c r="C155" s="57" t="inlineStr">
        <is>
          <t>Conditional / patient-specific</t>
        </is>
      </c>
      <c r="D155" s="57" t="inlineStr">
        <is>
          <t>No universal rate verified; thrombolytic-specific risks depend on drug and case selection</t>
        </is>
      </c>
      <c r="E155" s="57" t="inlineStr">
        <is>
          <t>[20] ACR-SIR Practice Parameter for Endovascular Management of the Thrombosed or Dysfunctional Dialysis Access; current online version [21] UK Kidney Association Clinical Practice Guideline on vascular access for haemodialysis. 2025</t>
        </is>
      </c>
      <c r="F155" s="59" t="inlineStr"/>
      <c r="G155" s="59" t="inlineStr"/>
      <c r="H155" s="59" t="inlineStr"/>
      <c r="I155" s="59" t="inlineStr"/>
      <c r="J155" s="59" t="inlineStr"/>
      <c r="K155" s="59" t="inlineStr"/>
      <c r="L155" s="59" t="inlineStr"/>
      <c r="M155" s="59" t="inlineStr"/>
      <c r="N155" s="57">
        <f>COUNT(F155:M155)</f>
        <v/>
      </c>
      <c r="O155" s="60">
        <f>IF(N155=0,"",COUNTIF(F155:M155,"&gt;=4")/N155)</f>
        <v/>
      </c>
      <c r="P155" s="60">
        <f>IF(N155=0,"",COUNTIF(F155:M155,"&lt;=2")/N155)</f>
        <v/>
      </c>
      <c r="Q155" s="57">
        <f>IF(N155=0,"",MEDIAN(F155:M155))</f>
        <v/>
      </c>
      <c r="R155" s="61">
        <f>IF(N155=0,"Not scored",IF(O155&gt;=0.8,"Include",IF(P155&gt;=0.8,"Exclude","Round 2")))</f>
        <v/>
      </c>
      <c r="S155" s="57" t="inlineStr"/>
      <c r="T155" s="57" t="inlineStr"/>
    </row>
    <row r="156">
      <c r="A156" s="57" t="inlineStr">
        <is>
          <t>Thrombolysis of dialysis access</t>
        </is>
      </c>
      <c r="B156" s="57" t="inlineStr">
        <is>
          <t>radiation exposure</t>
        </is>
      </c>
      <c r="C156" s="57" t="inlineStr">
        <is>
          <t>Conditional / patient-specific</t>
        </is>
      </c>
      <c r="D156" s="57" t="inlineStr">
        <is>
          <t>No universal rate verified; thrombolytic-specific risks depend on drug and case selection</t>
        </is>
      </c>
      <c r="E156" s="57" t="inlineStr">
        <is>
          <t>[20] ACR-SIR Practice Parameter for Endovascular Management of the Thrombosed or Dysfunctional Dialysis Access; current online version [21] UK Kidney Association Clinical Practice Guideline on vascular access for haemodialysis. 2025</t>
        </is>
      </c>
      <c r="F156" s="59" t="inlineStr"/>
      <c r="G156" s="59" t="inlineStr"/>
      <c r="H156" s="59" t="inlineStr"/>
      <c r="I156" s="59" t="inlineStr"/>
      <c r="J156" s="59" t="inlineStr"/>
      <c r="K156" s="59" t="inlineStr"/>
      <c r="L156" s="59" t="inlineStr"/>
      <c r="M156" s="59" t="inlineStr"/>
      <c r="N156" s="57">
        <f>COUNT(F156:M156)</f>
        <v/>
      </c>
      <c r="O156" s="60">
        <f>IF(N156=0,"",COUNTIF(F156:M156,"&gt;=4")/N156)</f>
        <v/>
      </c>
      <c r="P156" s="60">
        <f>IF(N156=0,"",COUNTIF(F156:M156,"&lt;=2")/N156)</f>
        <v/>
      </c>
      <c r="Q156" s="57">
        <f>IF(N156=0,"",MEDIAN(F156:M156))</f>
        <v/>
      </c>
      <c r="R156" s="61">
        <f>IF(N156=0,"Not scored",IF(O156&gt;=0.8,"Include",IF(P156&gt;=0.8,"Exclude","Round 2")))</f>
        <v/>
      </c>
      <c r="S156" s="57" t="inlineStr"/>
      <c r="T156" s="57" t="inlineStr"/>
    </row>
    <row r="157">
      <c r="A157" s="57" t="inlineStr">
        <is>
          <t>Thrombolysis of dialysis access</t>
        </is>
      </c>
      <c r="B157" s="57" t="inlineStr">
        <is>
          <t>Thrombolytic vs mechanical technique, coagulopathy, recent bleeding, access anatomy</t>
        </is>
      </c>
      <c r="C157" s="57" t="inlineStr">
        <is>
          <t>Conditional / patient-specific</t>
        </is>
      </c>
      <c r="D157" s="57" t="inlineStr">
        <is>
          <t>No universal rate verified; thrombolytic-specific risks depend on drug and case selection</t>
        </is>
      </c>
      <c r="E157" s="57" t="inlineStr">
        <is>
          <t>[20] ACR-SIR Practice Parameter for Endovascular Management of the Thrombosed or Dysfunctional Dialysis Access; current online version [21] UK Kidney Association Clinical Practice Guideline on vascular access for haemodialysis. 2025</t>
        </is>
      </c>
      <c r="F157" s="59" t="inlineStr"/>
      <c r="G157" s="59" t="inlineStr"/>
      <c r="H157" s="59" t="inlineStr"/>
      <c r="I157" s="59" t="inlineStr"/>
      <c r="J157" s="59" t="inlineStr"/>
      <c r="K157" s="59" t="inlineStr"/>
      <c r="L157" s="59" t="inlineStr"/>
      <c r="M157" s="59" t="inlineStr"/>
      <c r="N157" s="57">
        <f>COUNT(F157:M157)</f>
        <v/>
      </c>
      <c r="O157" s="60">
        <f>IF(N157=0,"",COUNTIF(F157:M157,"&gt;=4")/N157)</f>
        <v/>
      </c>
      <c r="P157" s="60">
        <f>IF(N157=0,"",COUNTIF(F157:M157,"&lt;=2")/N157)</f>
        <v/>
      </c>
      <c r="Q157" s="57">
        <f>IF(N157=0,"",MEDIAN(F157:M157))</f>
        <v/>
      </c>
      <c r="R157" s="61">
        <f>IF(N157=0,"Not scored",IF(O157&gt;=0.8,"Include",IF(P157&gt;=0.8,"Exclude","Round 2")))</f>
        <v/>
      </c>
      <c r="S157" s="57" t="inlineStr"/>
      <c r="T157" s="57" t="inlineStr"/>
    </row>
    <row r="158">
      <c r="A158" s="57" t="inlineStr">
        <is>
          <t>PTA of dialysis access</t>
        </is>
      </c>
      <c r="B158" s="57" t="inlineStr">
        <is>
          <t>Access-site pain/bleeding</t>
        </is>
      </c>
      <c r="C158" s="57" t="inlineStr">
        <is>
          <t>Core candidate</t>
        </is>
      </c>
      <c r="D158" s="57" t="inlineStr">
        <is>
          <t>No universal rate verified for all access types/techniques</t>
        </is>
      </c>
      <c r="E158" s="57" t="inlineStr">
        <is>
          <t>[20] ACR-SIR Practice Parameter for Endovascular Management of the Thrombosed or Dysfunctional Dialysis Access; current online version [21] UK Kidney Association Clinical Practice Guideline on vascular access for haemodialysis. 2025</t>
        </is>
      </c>
      <c r="F158" s="59" t="inlineStr"/>
      <c r="G158" s="59" t="inlineStr"/>
      <c r="H158" s="59" t="inlineStr"/>
      <c r="I158" s="59" t="inlineStr"/>
      <c r="J158" s="59" t="inlineStr"/>
      <c r="K158" s="59" t="inlineStr"/>
      <c r="L158" s="59" t="inlineStr"/>
      <c r="M158" s="59" t="inlineStr"/>
      <c r="N158" s="57">
        <f>COUNT(F158:M158)</f>
        <v/>
      </c>
      <c r="O158" s="60">
        <f>IF(N158=0,"",COUNTIF(F158:M158,"&gt;=4")/N158)</f>
        <v/>
      </c>
      <c r="P158" s="60">
        <f>IF(N158=0,"",COUNTIF(F158:M158,"&lt;=2")/N158)</f>
        <v/>
      </c>
      <c r="Q158" s="57">
        <f>IF(N158=0,"",MEDIAN(F158:M158))</f>
        <v/>
      </c>
      <c r="R158" s="61">
        <f>IF(N158=0,"Not scored",IF(O158&gt;=0.8,"Include",IF(P158&gt;=0.8,"Exclude","Round 2")))</f>
        <v/>
      </c>
      <c r="S158" s="57" t="inlineStr"/>
      <c r="T158" s="57" t="inlineStr"/>
    </row>
    <row r="159">
      <c r="A159" s="57" t="inlineStr">
        <is>
          <t>PTA of dialysis access</t>
        </is>
      </c>
      <c r="B159" s="57" t="inlineStr">
        <is>
          <t>restenosis/recurrent dysfunction</t>
        </is>
      </c>
      <c r="C159" s="57" t="inlineStr">
        <is>
          <t>Core candidate</t>
        </is>
      </c>
      <c r="D159" s="57" t="inlineStr">
        <is>
          <t>No universal rate verified for all access types/techniques</t>
        </is>
      </c>
      <c r="E159" s="57" t="inlineStr">
        <is>
          <t>[20] ACR-SIR Practice Parameter for Endovascular Management of the Thrombosed or Dysfunctional Dialysis Access; current online version [21] UK Kidney Association Clinical Practice Guideline on vascular access for haemodialysis. 2025</t>
        </is>
      </c>
      <c r="F159" s="59" t="inlineStr"/>
      <c r="G159" s="59" t="inlineStr"/>
      <c r="H159" s="59" t="inlineStr"/>
      <c r="I159" s="59" t="inlineStr"/>
      <c r="J159" s="59" t="inlineStr"/>
      <c r="K159" s="59" t="inlineStr"/>
      <c r="L159" s="59" t="inlineStr"/>
      <c r="M159" s="59" t="inlineStr"/>
      <c r="N159" s="57">
        <f>COUNT(F159:M159)</f>
        <v/>
      </c>
      <c r="O159" s="60">
        <f>IF(N159=0,"",COUNTIF(F159:M159,"&gt;=4")/N159)</f>
        <v/>
      </c>
      <c r="P159" s="60">
        <f>IF(N159=0,"",COUNTIF(F159:M159,"&lt;=2")/N159)</f>
        <v/>
      </c>
      <c r="Q159" s="57">
        <f>IF(N159=0,"",MEDIAN(F159:M159))</f>
        <v/>
      </c>
      <c r="R159" s="61">
        <f>IF(N159=0,"Not scored",IF(O159&gt;=0.8,"Include",IF(P159&gt;=0.8,"Exclude","Round 2")))</f>
        <v/>
      </c>
      <c r="S159" s="57" t="inlineStr"/>
      <c r="T159" s="57" t="inlineStr"/>
    </row>
    <row r="160">
      <c r="A160" s="57" t="inlineStr">
        <is>
          <t>PTA of dialysis access</t>
        </is>
      </c>
      <c r="B160" s="57" t="inlineStr">
        <is>
          <t>Dissection, rupture/extravasation, thrombosis, distal embolisation or worsening steal/hand ischaemia</t>
        </is>
      </c>
      <c r="C160" s="57" t="inlineStr">
        <is>
          <t>Core candidate</t>
        </is>
      </c>
      <c r="D160" s="57" t="inlineStr">
        <is>
          <t>No universal rate verified for all access types/techniques</t>
        </is>
      </c>
      <c r="E160" s="57" t="inlineStr">
        <is>
          <t>[20] ACR-SIR Practice Parameter for Endovascular Management of the Thrombosed or Dysfunctional Dialysis Access; current online version [21] UK Kidney Association Clinical Practice Guideline on vascular access for haemodialysis. 2025</t>
        </is>
      </c>
      <c r="F160" s="59" t="inlineStr"/>
      <c r="G160" s="59" t="inlineStr"/>
      <c r="H160" s="59" t="inlineStr"/>
      <c r="I160" s="59" t="inlineStr"/>
      <c r="J160" s="59" t="inlineStr"/>
      <c r="K160" s="59" t="inlineStr"/>
      <c r="L160" s="59" t="inlineStr"/>
      <c r="M160" s="59" t="inlineStr"/>
      <c r="N160" s="57">
        <f>COUNT(F160:M160)</f>
        <v/>
      </c>
      <c r="O160" s="60">
        <f>IF(N160=0,"",COUNTIF(F160:M160,"&gt;=4")/N160)</f>
        <v/>
      </c>
      <c r="P160" s="60">
        <f>IF(N160=0,"",COUNTIF(F160:M160,"&lt;=2")/N160)</f>
        <v/>
      </c>
      <c r="Q160" s="57">
        <f>IF(N160=0,"",MEDIAN(F160:M160))</f>
        <v/>
      </c>
      <c r="R160" s="61">
        <f>IF(N160=0,"Not scored",IF(O160&gt;=0.8,"Include",IF(P160&gt;=0.8,"Exclude","Round 2")))</f>
        <v/>
      </c>
      <c r="S160" s="57" t="inlineStr"/>
      <c r="T160" s="57" t="inlineStr"/>
    </row>
    <row r="161">
      <c r="A161" s="57" t="inlineStr">
        <is>
          <t>PTA of dialysis access</t>
        </is>
      </c>
      <c r="B161" s="57" t="inlineStr">
        <is>
          <t>Acute access loss</t>
        </is>
      </c>
      <c r="C161" s="57" t="inlineStr">
        <is>
          <t>Core candidate</t>
        </is>
      </c>
      <c r="D161" s="57" t="inlineStr">
        <is>
          <t>No universal rate verified for all access types/techniques</t>
        </is>
      </c>
      <c r="E161" s="57" t="inlineStr">
        <is>
          <t>[20] ACR-SIR Practice Parameter for Endovascular Management of the Thrombosed or Dysfunctional Dialysis Access; current online version [21] UK Kidney Association Clinical Practice Guideline on vascular access for haemodialysis. 2025</t>
        </is>
      </c>
      <c r="F161" s="59" t="inlineStr"/>
      <c r="G161" s="59" t="inlineStr"/>
      <c r="H161" s="59" t="inlineStr"/>
      <c r="I161" s="59" t="inlineStr"/>
      <c r="J161" s="59" t="inlineStr"/>
      <c r="K161" s="59" t="inlineStr"/>
      <c r="L161" s="59" t="inlineStr"/>
      <c r="M161" s="59" t="inlineStr"/>
      <c r="N161" s="57">
        <f>COUNT(F161:M161)</f>
        <v/>
      </c>
      <c r="O161" s="60">
        <f>IF(N161=0,"",COUNTIF(F161:M161,"&gt;=4")/N161)</f>
        <v/>
      </c>
      <c r="P161" s="60">
        <f>IF(N161=0,"",COUNTIF(F161:M161,"&lt;=2")/N161)</f>
        <v/>
      </c>
      <c r="Q161" s="57">
        <f>IF(N161=0,"",MEDIAN(F161:M161))</f>
        <v/>
      </c>
      <c r="R161" s="61">
        <f>IF(N161=0,"Not scored",IF(O161&gt;=0.8,"Include",IF(P161&gt;=0.8,"Exclude","Round 2")))</f>
        <v/>
      </c>
      <c r="S161" s="57" t="inlineStr"/>
      <c r="T161" s="57" t="inlineStr"/>
    </row>
    <row r="162">
      <c r="A162" s="57" t="inlineStr">
        <is>
          <t>PTA of dialysis access</t>
        </is>
      </c>
      <c r="B162" s="57" t="inlineStr">
        <is>
          <t>repeat procedure or surgery</t>
        </is>
      </c>
      <c r="C162" s="57" t="inlineStr">
        <is>
          <t>Core candidate</t>
        </is>
      </c>
      <c r="D162" s="57" t="inlineStr">
        <is>
          <t>No universal rate verified for all access types/techniques</t>
        </is>
      </c>
      <c r="E162" s="57" t="inlineStr">
        <is>
          <t>[20] ACR-SIR Practice Parameter for Endovascular Management of the Thrombosed or Dysfunctional Dialysis Access; current online version [21] UK Kidney Association Clinical Practice Guideline on vascular access for haemodialysis. 2025</t>
        </is>
      </c>
      <c r="F162" s="59" t="inlineStr"/>
      <c r="G162" s="59" t="inlineStr"/>
      <c r="H162" s="59" t="inlineStr"/>
      <c r="I162" s="59" t="inlineStr"/>
      <c r="J162" s="59" t="inlineStr"/>
      <c r="K162" s="59" t="inlineStr"/>
      <c r="L162" s="59" t="inlineStr"/>
      <c r="M162" s="59" t="inlineStr"/>
      <c r="N162" s="57">
        <f>COUNT(F162:M162)</f>
        <v/>
      </c>
      <c r="O162" s="60">
        <f>IF(N162=0,"",COUNTIF(F162:M162,"&gt;=4")/N162)</f>
        <v/>
      </c>
      <c r="P162" s="60">
        <f>IF(N162=0,"",COUNTIF(F162:M162,"&lt;=2")/N162)</f>
        <v/>
      </c>
      <c r="Q162" s="57">
        <f>IF(N162=0,"",MEDIAN(F162:M162))</f>
        <v/>
      </c>
      <c r="R162" s="61">
        <f>IF(N162=0,"Not scored",IF(O162&gt;=0.8,"Include",IF(P162&gt;=0.8,"Exclude","Round 2")))</f>
        <v/>
      </c>
      <c r="S162" s="57" t="inlineStr"/>
      <c r="T162" s="57" t="inlineStr"/>
    </row>
    <row r="163">
      <c r="A163" s="57" t="inlineStr">
        <is>
          <t>PTA of dialysis access</t>
        </is>
      </c>
      <c r="B163" s="57" t="inlineStr">
        <is>
          <t>Access puncture bleeding/haematoma</t>
        </is>
      </c>
      <c r="C163" s="57" t="inlineStr">
        <is>
          <t>Core candidate</t>
        </is>
      </c>
      <c r="D163" s="57" t="inlineStr">
        <is>
          <t>No universal rate verified for all access types/techniques</t>
        </is>
      </c>
      <c r="E163" s="57" t="inlineStr">
        <is>
          <t>[20] ACR-SIR Practice Parameter for Endovascular Management of the Thrombosed or Dysfunctional Dialysis Access; current online version [21] UK Kidney Association Clinical Practice Guideline on vascular access for haemodialysis. 2025</t>
        </is>
      </c>
      <c r="F163" s="59" t="inlineStr"/>
      <c r="G163" s="59" t="inlineStr"/>
      <c r="H163" s="59" t="inlineStr"/>
      <c r="I163" s="59" t="inlineStr"/>
      <c r="J163" s="59" t="inlineStr"/>
      <c r="K163" s="59" t="inlineStr"/>
      <c r="L163" s="59" t="inlineStr"/>
      <c r="M163" s="59" t="inlineStr"/>
      <c r="N163" s="57">
        <f>COUNT(F163:M163)</f>
        <v/>
      </c>
      <c r="O163" s="60">
        <f>IF(N163=0,"",COUNTIF(F163:M163,"&gt;=4")/N163)</f>
        <v/>
      </c>
      <c r="P163" s="60">
        <f>IF(N163=0,"",COUNTIF(F163:M163,"&lt;=2")/N163)</f>
        <v/>
      </c>
      <c r="Q163" s="57">
        <f>IF(N163=0,"",MEDIAN(F163:M163))</f>
        <v/>
      </c>
      <c r="R163" s="61">
        <f>IF(N163=0,"Not scored",IF(O163&gt;=0.8,"Include",IF(P163&gt;=0.8,"Exclude","Round 2")))</f>
        <v/>
      </c>
      <c r="S163" s="57" t="inlineStr"/>
      <c r="T163" s="57" t="inlineStr"/>
    </row>
    <row r="164">
      <c r="A164" s="57" t="inlineStr">
        <is>
          <t>PTA of dialysis access</t>
        </is>
      </c>
      <c r="B164" s="57" t="inlineStr">
        <is>
          <t>access rupture</t>
        </is>
      </c>
      <c r="C164" s="57" t="inlineStr">
        <is>
          <t>Core candidate</t>
        </is>
      </c>
      <c r="D164" s="57" t="inlineStr">
        <is>
          <t>No universal rate verified for all access types/techniques</t>
        </is>
      </c>
      <c r="E164" s="57" t="inlineStr">
        <is>
          <t>[20] ACR-SIR Practice Parameter for Endovascular Management of the Thrombosed or Dysfunctional Dialysis Access; current online version [21] UK Kidney Association Clinical Practice Guideline on vascular access for haemodialysis. 2025</t>
        </is>
      </c>
      <c r="F164" s="59" t="inlineStr"/>
      <c r="G164" s="59" t="inlineStr"/>
      <c r="H164" s="59" t="inlineStr"/>
      <c r="I164" s="59" t="inlineStr"/>
      <c r="J164" s="59" t="inlineStr"/>
      <c r="K164" s="59" t="inlineStr"/>
      <c r="L164" s="59" t="inlineStr"/>
      <c r="M164" s="59" t="inlineStr"/>
      <c r="N164" s="57">
        <f>COUNT(F164:M164)</f>
        <v/>
      </c>
      <c r="O164" s="60">
        <f>IF(N164=0,"",COUNTIF(F164:M164,"&gt;=4")/N164)</f>
        <v/>
      </c>
      <c r="P164" s="60">
        <f>IF(N164=0,"",COUNTIF(F164:M164,"&lt;=2")/N164)</f>
        <v/>
      </c>
      <c r="Q164" s="57">
        <f>IF(N164=0,"",MEDIAN(F164:M164))</f>
        <v/>
      </c>
      <c r="R164" s="61">
        <f>IF(N164=0,"Not scored",IF(O164&gt;=0.8,"Include",IF(P164&gt;=0.8,"Exclude","Round 2")))</f>
        <v/>
      </c>
      <c r="S164" s="57" t="inlineStr"/>
      <c r="T164" s="57" t="inlineStr"/>
    </row>
    <row r="165">
      <c r="A165" s="57" t="inlineStr">
        <is>
          <t>PTA of dialysis access</t>
        </is>
      </c>
      <c r="B165" s="57" t="inlineStr">
        <is>
          <t>Contrast reaction/AKI as relevant</t>
        </is>
      </c>
      <c r="C165" s="57" t="inlineStr">
        <is>
          <t>Conditional / patient-specific</t>
        </is>
      </c>
      <c r="D165" s="57" t="inlineStr">
        <is>
          <t>No universal rate verified for all access types/techniques</t>
        </is>
      </c>
      <c r="E165" s="57" t="inlineStr">
        <is>
          <t>[20] ACR-SIR Practice Parameter for Endovascular Management of the Thrombosed or Dysfunctional Dialysis Access; current online version [21] UK Kidney Association Clinical Practice Guideline on vascular access for haemodialysis. 2025</t>
        </is>
      </c>
      <c r="F165" s="59" t="inlineStr"/>
      <c r="G165" s="59" t="inlineStr"/>
      <c r="H165" s="59" t="inlineStr"/>
      <c r="I165" s="59" t="inlineStr"/>
      <c r="J165" s="59" t="inlineStr"/>
      <c r="K165" s="59" t="inlineStr"/>
      <c r="L165" s="59" t="inlineStr"/>
      <c r="M165" s="59" t="inlineStr"/>
      <c r="N165" s="57">
        <f>COUNT(F165:M165)</f>
        <v/>
      </c>
      <c r="O165" s="60">
        <f>IF(N165=0,"",COUNTIF(F165:M165,"&gt;=4")/N165)</f>
        <v/>
      </c>
      <c r="P165" s="60">
        <f>IF(N165=0,"",COUNTIF(F165:M165,"&lt;=2")/N165)</f>
        <v/>
      </c>
      <c r="Q165" s="57">
        <f>IF(N165=0,"",MEDIAN(F165:M165))</f>
        <v/>
      </c>
      <c r="R165" s="61">
        <f>IF(N165=0,"Not scored",IF(O165&gt;=0.8,"Include",IF(P165&gt;=0.8,"Exclude","Round 2")))</f>
        <v/>
      </c>
      <c r="S165" s="57" t="inlineStr"/>
      <c r="T165" s="57" t="inlineStr"/>
    </row>
    <row r="166">
      <c r="A166" s="57" t="inlineStr">
        <is>
          <t>PTA of dialysis access</t>
        </is>
      </c>
      <c r="B166" s="57" t="inlineStr">
        <is>
          <t>radiation exposure</t>
        </is>
      </c>
      <c r="C166" s="57" t="inlineStr">
        <is>
          <t>Conditional / patient-specific</t>
        </is>
      </c>
      <c r="D166" s="57" t="inlineStr">
        <is>
          <t>No universal rate verified for all access types/techniques</t>
        </is>
      </c>
      <c r="E166" s="57" t="inlineStr">
        <is>
          <t>[20] ACR-SIR Practice Parameter for Endovascular Management of the Thrombosed or Dysfunctional Dialysis Access; current online version [21] UK Kidney Association Clinical Practice Guideline on vascular access for haemodialysis. 2025</t>
        </is>
      </c>
      <c r="F166" s="59" t="inlineStr"/>
      <c r="G166" s="59" t="inlineStr"/>
      <c r="H166" s="59" t="inlineStr"/>
      <c r="I166" s="59" t="inlineStr"/>
      <c r="J166" s="59" t="inlineStr"/>
      <c r="K166" s="59" t="inlineStr"/>
      <c r="L166" s="59" t="inlineStr"/>
      <c r="M166" s="59" t="inlineStr"/>
      <c r="N166" s="57">
        <f>COUNT(F166:M166)</f>
        <v/>
      </c>
      <c r="O166" s="60">
        <f>IF(N166=0,"",COUNTIF(F166:M166,"&gt;=4")/N166)</f>
        <v/>
      </c>
      <c r="P166" s="60">
        <f>IF(N166=0,"",COUNTIF(F166:M166,"&lt;=2")/N166)</f>
        <v/>
      </c>
      <c r="Q166" s="57">
        <f>IF(N166=0,"",MEDIAN(F166:M166))</f>
        <v/>
      </c>
      <c r="R166" s="61">
        <f>IF(N166=0,"Not scored",IF(O166&gt;=0.8,"Include",IF(P166&gt;=0.8,"Exclude","Round 2")))</f>
        <v/>
      </c>
      <c r="S166" s="57" t="inlineStr"/>
      <c r="T166" s="57" t="inlineStr"/>
    </row>
    <row r="167">
      <c r="A167" s="57" t="inlineStr">
        <is>
          <t>PTA of dialysis access</t>
        </is>
      </c>
      <c r="B167" s="57" t="inlineStr">
        <is>
          <t>Fistula vs graft, lesion site, balloon/stent device and baseline hand perfusion</t>
        </is>
      </c>
      <c r="C167" s="57" t="inlineStr">
        <is>
          <t>Conditional / patient-specific</t>
        </is>
      </c>
      <c r="D167" s="57" t="inlineStr">
        <is>
          <t>No universal rate verified for all access types/techniques</t>
        </is>
      </c>
      <c r="E167" s="57" t="inlineStr">
        <is>
          <t>[20] ACR-SIR Practice Parameter for Endovascular Management of the Thrombosed or Dysfunctional Dialysis Access; current online version [21] UK Kidney Association Clinical Practice Guideline on vascular access for haemodialysis. 2025</t>
        </is>
      </c>
      <c r="F167" s="59" t="inlineStr"/>
      <c r="G167" s="59" t="inlineStr"/>
      <c r="H167" s="59" t="inlineStr"/>
      <c r="I167" s="59" t="inlineStr"/>
      <c r="J167" s="59" t="inlineStr"/>
      <c r="K167" s="59" t="inlineStr"/>
      <c r="L167" s="59" t="inlineStr"/>
      <c r="M167" s="59" t="inlineStr"/>
      <c r="N167" s="57">
        <f>COUNT(F167:M167)</f>
        <v/>
      </c>
      <c r="O167" s="60">
        <f>IF(N167=0,"",COUNTIF(F167:M167,"&gt;=4")/N167)</f>
        <v/>
      </c>
      <c r="P167" s="60">
        <f>IF(N167=0,"",COUNTIF(F167:M167,"&lt;=2")/N167)</f>
        <v/>
      </c>
      <c r="Q167" s="57">
        <f>IF(N167=0,"",MEDIAN(F167:M167))</f>
        <v/>
      </c>
      <c r="R167" s="61">
        <f>IF(N167=0,"Not scored",IF(O167&gt;=0.8,"Include",IF(P167&gt;=0.8,"Exclude","Round 2")))</f>
        <v/>
      </c>
      <c r="S167" s="57" t="inlineStr"/>
      <c r="T167" s="57" t="inlineStr"/>
    </row>
    <row r="168">
      <c r="A168" s="57" t="inlineStr">
        <is>
          <t>Transjugular intrahepatic portosystemic shunt (TIPS)</t>
        </is>
      </c>
      <c r="B168" s="57" t="inlineStr">
        <is>
          <t>Neck discomfort</t>
        </is>
      </c>
      <c r="C168" s="57" t="inlineStr">
        <is>
          <t>Core candidate</t>
        </is>
      </c>
      <c r="D168" s="57" t="inlineStr">
        <is>
          <t>Rates vary with patient selection, indication and follow-up; no generic rate supplied</t>
        </is>
      </c>
      <c r="E168" s="57" t="inlineStr">
        <is>
          <t>[22] Lucatelli et al. CIRSE Standards of Practice on Transjugular Intrahepatic Portosystemic Shunts. 2024; DOI 10.1007/s00270-024-03866-y; PMID 39550753. [23] BSIR/RCR TIPS patient leaflet; current hosted PDF states approved 25 Feb 2011</t>
        </is>
      </c>
      <c r="F168" s="59" t="inlineStr"/>
      <c r="G168" s="59" t="inlineStr"/>
      <c r="H168" s="59" t="inlineStr"/>
      <c r="I168" s="59" t="inlineStr"/>
      <c r="J168" s="59" t="inlineStr"/>
      <c r="K168" s="59" t="inlineStr"/>
      <c r="L168" s="59" t="inlineStr"/>
      <c r="M168" s="59" t="inlineStr"/>
      <c r="N168" s="57">
        <f>COUNT(F168:M168)</f>
        <v/>
      </c>
      <c r="O168" s="60">
        <f>IF(N168=0,"",COUNTIF(F168:M168,"&gt;=4")/N168)</f>
        <v/>
      </c>
      <c r="P168" s="60">
        <f>IF(N168=0,"",COUNTIF(F168:M168,"&lt;=2")/N168)</f>
        <v/>
      </c>
      <c r="Q168" s="57">
        <f>IF(N168=0,"",MEDIAN(F168:M168))</f>
        <v/>
      </c>
      <c r="R168" s="61">
        <f>IF(N168=0,"Not scored",IF(O168&gt;=0.8,"Include",IF(P168&gt;=0.8,"Exclude","Round 2")))</f>
        <v/>
      </c>
      <c r="S168" s="57" t="inlineStr"/>
      <c r="T168" s="57" t="inlineStr"/>
    </row>
    <row r="169">
      <c r="A169" s="57" t="inlineStr">
        <is>
          <t>Transjugular intrahepatic portosystemic shunt (TIPS)</t>
        </is>
      </c>
      <c r="B169" s="57" t="inlineStr">
        <is>
          <t>possible breathlessness/volume shift depending on patient</t>
        </is>
      </c>
      <c r="C169" s="57" t="inlineStr">
        <is>
          <t>Core candidate</t>
        </is>
      </c>
      <c r="D169" s="57" t="inlineStr">
        <is>
          <t>Rates vary with patient selection, indication and follow-up; no generic rate supplied</t>
        </is>
      </c>
      <c r="E169" s="57" t="inlineStr">
        <is>
          <t>[22] Lucatelli et al. CIRSE Standards of Practice on Transjugular Intrahepatic Portosystemic Shunts. 2024; DOI 10.1007/s00270-024-03866-y; PMID 39550753. [23] BSIR/RCR TIPS patient leaflet; current hosted PDF states approved 25 Feb 2011</t>
        </is>
      </c>
      <c r="F169" s="59" t="inlineStr"/>
      <c r="G169" s="59" t="inlineStr"/>
      <c r="H169" s="59" t="inlineStr"/>
      <c r="I169" s="59" t="inlineStr"/>
      <c r="J169" s="59" t="inlineStr"/>
      <c r="K169" s="59" t="inlineStr"/>
      <c r="L169" s="59" t="inlineStr"/>
      <c r="M169" s="59" t="inlineStr"/>
      <c r="N169" s="57">
        <f>COUNT(F169:M169)</f>
        <v/>
      </c>
      <c r="O169" s="60">
        <f>IF(N169=0,"",COUNTIF(F169:M169,"&gt;=4")/N169)</f>
        <v/>
      </c>
      <c r="P169" s="60">
        <f>IF(N169=0,"",COUNTIF(F169:M169,"&lt;=2")/N169)</f>
        <v/>
      </c>
      <c r="Q169" s="57">
        <f>IF(N169=0,"",MEDIAN(F169:M169))</f>
        <v/>
      </c>
      <c r="R169" s="61">
        <f>IF(N169=0,"Not scored",IF(O169&gt;=0.8,"Include",IF(P169&gt;=0.8,"Exclude","Round 2")))</f>
        <v/>
      </c>
      <c r="S169" s="57" t="inlineStr"/>
      <c r="T169" s="57" t="inlineStr"/>
    </row>
    <row r="170">
      <c r="A170" s="57" t="inlineStr">
        <is>
          <t>Transjugular intrahepatic portosystemic shunt (TIPS)</t>
        </is>
      </c>
      <c r="B170" s="57" t="inlineStr">
        <is>
          <t>New or worsened hepatic encephalopathy</t>
        </is>
      </c>
      <c r="C170" s="57" t="inlineStr">
        <is>
          <t>Core candidate</t>
        </is>
      </c>
      <c r="D170" s="57" t="inlineStr">
        <is>
          <t>Rates vary with patient selection, indication and follow-up; no generic rate supplied</t>
        </is>
      </c>
      <c r="E170" s="57" t="inlineStr">
        <is>
          <t>[22] Lucatelli et al. CIRSE Standards of Practice on Transjugular Intrahepatic Portosystemic Shunts. 2024; DOI 10.1007/s00270-024-03866-y; PMID 39550753. [23] BSIR/RCR TIPS patient leaflet; current hosted PDF states approved 25 Feb 2011</t>
        </is>
      </c>
      <c r="F170" s="59" t="inlineStr"/>
      <c r="G170" s="59" t="inlineStr"/>
      <c r="H170" s="59" t="inlineStr"/>
      <c r="I170" s="59" t="inlineStr"/>
      <c r="J170" s="59" t="inlineStr"/>
      <c r="K170" s="59" t="inlineStr"/>
      <c r="L170" s="59" t="inlineStr"/>
      <c r="M170" s="59" t="inlineStr"/>
      <c r="N170" s="57">
        <f>COUNT(F170:M170)</f>
        <v/>
      </c>
      <c r="O170" s="60">
        <f>IF(N170=0,"",COUNTIF(F170:M170,"&gt;=4")/N170)</f>
        <v/>
      </c>
      <c r="P170" s="60">
        <f>IF(N170=0,"",COUNTIF(F170:M170,"&lt;=2")/N170)</f>
        <v/>
      </c>
      <c r="Q170" s="57">
        <f>IF(N170=0,"",MEDIAN(F170:M170))</f>
        <v/>
      </c>
      <c r="R170" s="61">
        <f>IF(N170=0,"Not scored",IF(O170&gt;=0.8,"Include",IF(P170&gt;=0.8,"Exclude","Round 2")))</f>
        <v/>
      </c>
      <c r="S170" s="57" t="inlineStr"/>
      <c r="T170" s="57" t="inlineStr"/>
    </row>
    <row r="171">
      <c r="A171" s="57" t="inlineStr">
        <is>
          <t>Transjugular intrahepatic portosystemic shunt (TIPS)</t>
        </is>
      </c>
      <c r="B171" s="57" t="inlineStr">
        <is>
          <t>shunt dysfunction/stenosis/thrombosis</t>
        </is>
      </c>
      <c r="C171" s="57" t="inlineStr">
        <is>
          <t>Core candidate</t>
        </is>
      </c>
      <c r="D171" s="57" t="inlineStr">
        <is>
          <t>Rates vary with patient selection, indication and follow-up; no generic rate supplied</t>
        </is>
      </c>
      <c r="E171" s="57" t="inlineStr">
        <is>
          <t>[22] Lucatelli et al. CIRSE Standards of Practice on Transjugular Intrahepatic Portosystemic Shunts. 2024; DOI 10.1007/s00270-024-03866-y; PMID 39550753. [23] BSIR/RCR TIPS patient leaflet; current hosted PDF states approved 25 Feb 2011</t>
        </is>
      </c>
      <c r="F171" s="59" t="inlineStr"/>
      <c r="G171" s="59" t="inlineStr"/>
      <c r="H171" s="59" t="inlineStr"/>
      <c r="I171" s="59" t="inlineStr"/>
      <c r="J171" s="59" t="inlineStr"/>
      <c r="K171" s="59" t="inlineStr"/>
      <c r="L171" s="59" t="inlineStr"/>
      <c r="M171" s="59" t="inlineStr"/>
      <c r="N171" s="57">
        <f>COUNT(F171:M171)</f>
        <v/>
      </c>
      <c r="O171" s="60">
        <f>IF(N171=0,"",COUNTIF(F171:M171,"&gt;=4")/N171)</f>
        <v/>
      </c>
      <c r="P171" s="60">
        <f>IF(N171=0,"",COUNTIF(F171:M171,"&lt;=2")/N171)</f>
        <v/>
      </c>
      <c r="Q171" s="57">
        <f>IF(N171=0,"",MEDIAN(F171:M171))</f>
        <v/>
      </c>
      <c r="R171" s="61">
        <f>IF(N171=0,"Not scored",IF(O171&gt;=0.8,"Include",IF(P171&gt;=0.8,"Exclude","Round 2")))</f>
        <v/>
      </c>
      <c r="S171" s="57" t="inlineStr"/>
      <c r="T171" s="57" t="inlineStr"/>
    </row>
    <row r="172">
      <c r="A172" s="57" t="inlineStr">
        <is>
          <t>Transjugular intrahepatic portosystemic shunt (TIPS)</t>
        </is>
      </c>
      <c r="B172" s="57" t="inlineStr">
        <is>
          <t>hepatic decompensation</t>
        </is>
      </c>
      <c r="C172" s="57" t="inlineStr">
        <is>
          <t>Core candidate</t>
        </is>
      </c>
      <c r="D172" s="57" t="inlineStr">
        <is>
          <t>Rates vary with patient selection, indication and follow-up; no generic rate supplied</t>
        </is>
      </c>
      <c r="E172" s="57" t="inlineStr">
        <is>
          <t>[22] Lucatelli et al. CIRSE Standards of Practice on Transjugular Intrahepatic Portosystemic Shunts. 2024; DOI 10.1007/s00270-024-03866-y; PMID 39550753. [23] BSIR/RCR TIPS patient leaflet; current hosted PDF states approved 25 Feb 2011</t>
        </is>
      </c>
      <c r="F172" s="59" t="inlineStr"/>
      <c r="G172" s="59" t="inlineStr"/>
      <c r="H172" s="59" t="inlineStr"/>
      <c r="I172" s="59" t="inlineStr"/>
      <c r="J172" s="59" t="inlineStr"/>
      <c r="K172" s="59" t="inlineStr"/>
      <c r="L172" s="59" t="inlineStr"/>
      <c r="M172" s="59" t="inlineStr"/>
      <c r="N172" s="57">
        <f>COUNT(F172:M172)</f>
        <v/>
      </c>
      <c r="O172" s="60">
        <f>IF(N172=0,"",COUNTIF(F172:M172,"&gt;=4")/N172)</f>
        <v/>
      </c>
      <c r="P172" s="60">
        <f>IF(N172=0,"",COUNTIF(F172:M172,"&lt;=2")/N172)</f>
        <v/>
      </c>
      <c r="Q172" s="57">
        <f>IF(N172=0,"",MEDIAN(F172:M172))</f>
        <v/>
      </c>
      <c r="R172" s="61">
        <f>IF(N172=0,"Not scored",IF(O172&gt;=0.8,"Include",IF(P172&gt;=0.8,"Exclude","Round 2")))</f>
        <v/>
      </c>
      <c r="S172" s="57" t="inlineStr"/>
      <c r="T172" s="57" t="inlineStr"/>
    </row>
    <row r="173">
      <c r="A173" s="57" t="inlineStr">
        <is>
          <t>Transjugular intrahepatic portosystemic shunt (TIPS)</t>
        </is>
      </c>
      <c r="B173" s="57" t="inlineStr">
        <is>
          <t>Capsular puncture/intra-abdominal haemorrhage, biliary/portal injury, cardiac failure/volume overload, liver failure or death</t>
        </is>
      </c>
      <c r="C173" s="57" t="inlineStr">
        <is>
          <t>Core candidate</t>
        </is>
      </c>
      <c r="D173" s="57" t="inlineStr">
        <is>
          <t>Rates vary with patient selection, indication and follow-up; no generic rate supplied</t>
        </is>
      </c>
      <c r="E173" s="57" t="inlineStr">
        <is>
          <t>[22] Lucatelli et al. CIRSE Standards of Practice on Transjugular Intrahepatic Portosystemic Shunts. 2024; DOI 10.1007/s00270-024-03866-y; PMID 39550753. [23] BSIR/RCR TIPS patient leaflet; current hosted PDF states approved 25 Feb 2011</t>
        </is>
      </c>
      <c r="F173" s="59" t="inlineStr"/>
      <c r="G173" s="59" t="inlineStr"/>
      <c r="H173" s="59" t="inlineStr"/>
      <c r="I173" s="59" t="inlineStr"/>
      <c r="J173" s="59" t="inlineStr"/>
      <c r="K173" s="59" t="inlineStr"/>
      <c r="L173" s="59" t="inlineStr"/>
      <c r="M173" s="59" t="inlineStr"/>
      <c r="N173" s="57">
        <f>COUNT(F173:M173)</f>
        <v/>
      </c>
      <c r="O173" s="60">
        <f>IF(N173=0,"",COUNTIF(F173:M173,"&gt;=4")/N173)</f>
        <v/>
      </c>
      <c r="P173" s="60">
        <f>IF(N173=0,"",COUNTIF(F173:M173,"&lt;=2")/N173)</f>
        <v/>
      </c>
      <c r="Q173" s="57">
        <f>IF(N173=0,"",MEDIAN(F173:M173))</f>
        <v/>
      </c>
      <c r="R173" s="61">
        <f>IF(N173=0,"Not scored",IF(O173&gt;=0.8,"Include",IF(P173&gt;=0.8,"Exclude","Round 2")))</f>
        <v/>
      </c>
      <c r="S173" s="57" t="inlineStr"/>
      <c r="T173" s="57" t="inlineStr"/>
    </row>
    <row r="174">
      <c r="A174" s="57" t="inlineStr">
        <is>
          <t>Transjugular intrahepatic portosystemic shunt (TIPS)</t>
        </is>
      </c>
      <c r="B174" s="57" t="inlineStr">
        <is>
          <t>Neck puncture bleeding/haematoma</t>
        </is>
      </c>
      <c r="C174" s="57" t="inlineStr">
        <is>
          <t>Core candidate</t>
        </is>
      </c>
      <c r="D174" s="57" t="inlineStr">
        <is>
          <t>Rates vary with patient selection, indication and follow-up; no generic rate supplied</t>
        </is>
      </c>
      <c r="E174" s="57" t="inlineStr">
        <is>
          <t>[22] Lucatelli et al. CIRSE Standards of Practice on Transjugular Intrahepatic Portosystemic Shunts. 2024; DOI 10.1007/s00270-024-03866-y; PMID 39550753. [23] BSIR/RCR TIPS patient leaflet; current hosted PDF states approved 25 Feb 2011</t>
        </is>
      </c>
      <c r="F174" s="59" t="inlineStr"/>
      <c r="G174" s="59" t="inlineStr"/>
      <c r="H174" s="59" t="inlineStr"/>
      <c r="I174" s="59" t="inlineStr"/>
      <c r="J174" s="59" t="inlineStr"/>
      <c r="K174" s="59" t="inlineStr"/>
      <c r="L174" s="59" t="inlineStr"/>
      <c r="M174" s="59" t="inlineStr"/>
      <c r="N174" s="57">
        <f>COUNT(F174:M174)</f>
        <v/>
      </c>
      <c r="O174" s="60">
        <f>IF(N174=0,"",COUNTIF(F174:M174,"&gt;=4")/N174)</f>
        <v/>
      </c>
      <c r="P174" s="60">
        <f>IF(N174=0,"",COUNTIF(F174:M174,"&lt;=2")/N174)</f>
        <v/>
      </c>
      <c r="Q174" s="57">
        <f>IF(N174=0,"",MEDIAN(F174:M174))</f>
        <v/>
      </c>
      <c r="R174" s="61">
        <f>IF(N174=0,"Not scored",IF(O174&gt;=0.8,"Include",IF(P174&gt;=0.8,"Exclude","Round 2")))</f>
        <v/>
      </c>
      <c r="S174" s="57" t="inlineStr"/>
      <c r="T174" s="57" t="inlineStr"/>
    </row>
    <row r="175">
      <c r="A175" s="57" t="inlineStr">
        <is>
          <t>Transjugular intrahepatic portosystemic shunt (TIPS)</t>
        </is>
      </c>
      <c r="B175" s="57" t="inlineStr">
        <is>
          <t>inadvertent arterial puncture</t>
        </is>
      </c>
      <c r="C175" s="57" t="inlineStr">
        <is>
          <t>Core candidate</t>
        </is>
      </c>
      <c r="D175" s="57" t="inlineStr">
        <is>
          <t>Rates vary with patient selection, indication and follow-up; no generic rate supplied</t>
        </is>
      </c>
      <c r="E175" s="57" t="inlineStr">
        <is>
          <t>[22] Lucatelli et al. CIRSE Standards of Practice on Transjugular Intrahepatic Portosystemic Shunts. 2024; DOI 10.1007/s00270-024-03866-y; PMID 39550753. [23] BSIR/RCR TIPS patient leaflet; current hosted PDF states approved 25 Feb 2011</t>
        </is>
      </c>
      <c r="F175" s="59" t="inlineStr"/>
      <c r="G175" s="59" t="inlineStr"/>
      <c r="H175" s="59" t="inlineStr"/>
      <c r="I175" s="59" t="inlineStr"/>
      <c r="J175" s="59" t="inlineStr"/>
      <c r="K175" s="59" t="inlineStr"/>
      <c r="L175" s="59" t="inlineStr"/>
      <c r="M175" s="59" t="inlineStr"/>
      <c r="N175" s="57">
        <f>COUNT(F175:M175)</f>
        <v/>
      </c>
      <c r="O175" s="60">
        <f>IF(N175=0,"",COUNTIF(F175:M175,"&gt;=4")/N175)</f>
        <v/>
      </c>
      <c r="P175" s="60">
        <f>IF(N175=0,"",COUNTIF(F175:M175,"&lt;=2")/N175)</f>
        <v/>
      </c>
      <c r="Q175" s="57">
        <f>IF(N175=0,"",MEDIAN(F175:M175))</f>
        <v/>
      </c>
      <c r="R175" s="61">
        <f>IF(N175=0,"Not scored",IF(O175&gt;=0.8,"Include",IF(P175&gt;=0.8,"Exclude","Round 2")))</f>
        <v/>
      </c>
      <c r="S175" s="57" t="inlineStr"/>
      <c r="T175" s="57" t="inlineStr"/>
    </row>
    <row r="176">
      <c r="A176" s="57" t="inlineStr">
        <is>
          <t>Transjugular intrahepatic portosystemic shunt (TIPS)</t>
        </is>
      </c>
      <c r="B176" s="57" t="inlineStr">
        <is>
          <t>Contrast reaction/AKI</t>
        </is>
      </c>
      <c r="C176" s="57" t="inlineStr">
        <is>
          <t>Conditional / patient-specific</t>
        </is>
      </c>
      <c r="D176" s="57" t="inlineStr">
        <is>
          <t>Rates vary with patient selection, indication and follow-up; no generic rate supplied</t>
        </is>
      </c>
      <c r="E176" s="57" t="inlineStr">
        <is>
          <t>[22] Lucatelli et al. CIRSE Standards of Practice on Transjugular Intrahepatic Portosystemic Shunts. 2024; DOI 10.1007/s00270-024-03866-y; PMID 39550753. [23] BSIR/RCR TIPS patient leaflet; current hosted PDF states approved 25 Feb 2011</t>
        </is>
      </c>
      <c r="F176" s="59" t="inlineStr"/>
      <c r="G176" s="59" t="inlineStr"/>
      <c r="H176" s="59" t="inlineStr"/>
      <c r="I176" s="59" t="inlineStr"/>
      <c r="J176" s="59" t="inlineStr"/>
      <c r="K176" s="59" t="inlineStr"/>
      <c r="L176" s="59" t="inlineStr"/>
      <c r="M176" s="59" t="inlineStr"/>
      <c r="N176" s="57">
        <f>COUNT(F176:M176)</f>
        <v/>
      </c>
      <c r="O176" s="60">
        <f>IF(N176=0,"",COUNTIF(F176:M176,"&gt;=4")/N176)</f>
        <v/>
      </c>
      <c r="P176" s="60">
        <f>IF(N176=0,"",COUNTIF(F176:M176,"&lt;=2")/N176)</f>
        <v/>
      </c>
      <c r="Q176" s="57">
        <f>IF(N176=0,"",MEDIAN(F176:M176))</f>
        <v/>
      </c>
      <c r="R176" s="61">
        <f>IF(N176=0,"Not scored",IF(O176&gt;=0.8,"Include",IF(P176&gt;=0.8,"Exclude","Round 2")))</f>
        <v/>
      </c>
      <c r="S176" s="57" t="inlineStr"/>
      <c r="T176" s="57" t="inlineStr"/>
    </row>
    <row r="177">
      <c r="A177" s="57" t="inlineStr">
        <is>
          <t>Transjugular intrahepatic portosystemic shunt (TIPS)</t>
        </is>
      </c>
      <c r="B177" s="57" t="inlineStr">
        <is>
          <t>radiation</t>
        </is>
      </c>
      <c r="C177" s="57" t="inlineStr">
        <is>
          <t>Conditional / patient-specific</t>
        </is>
      </c>
      <c r="D177" s="57" t="inlineStr">
        <is>
          <t>Rates vary with patient selection, indication and follow-up; no generic rate supplied</t>
        </is>
      </c>
      <c r="E177" s="57" t="inlineStr">
        <is>
          <t>[22] Lucatelli et al. CIRSE Standards of Practice on Transjugular Intrahepatic Portosystemic Shunts. 2024; DOI 10.1007/s00270-024-03866-y; PMID 39550753. [23] BSIR/RCR TIPS patient leaflet; current hosted PDF states approved 25 Feb 2011</t>
        </is>
      </c>
      <c r="F177" s="59" t="inlineStr"/>
      <c r="G177" s="59" t="inlineStr"/>
      <c r="H177" s="59" t="inlineStr"/>
      <c r="I177" s="59" t="inlineStr"/>
      <c r="J177" s="59" t="inlineStr"/>
      <c r="K177" s="59" t="inlineStr"/>
      <c r="L177" s="59" t="inlineStr"/>
      <c r="M177" s="59" t="inlineStr"/>
      <c r="N177" s="57">
        <f>COUNT(F177:M177)</f>
        <v/>
      </c>
      <c r="O177" s="60">
        <f>IF(N177=0,"",COUNTIF(F177:M177,"&gt;=4")/N177)</f>
        <v/>
      </c>
      <c r="P177" s="60">
        <f>IF(N177=0,"",COUNTIF(F177:M177,"&lt;=2")/N177)</f>
        <v/>
      </c>
      <c r="Q177" s="57">
        <f>IF(N177=0,"",MEDIAN(F177:M177))</f>
        <v/>
      </c>
      <c r="R177" s="61">
        <f>IF(N177=0,"Not scored",IF(O177&gt;=0.8,"Include",IF(P177&gt;=0.8,"Exclude","Round 2")))</f>
        <v/>
      </c>
      <c r="S177" s="57" t="inlineStr"/>
      <c r="T177" s="57" t="inlineStr"/>
    </row>
    <row r="178">
      <c r="A178" s="57" t="inlineStr">
        <is>
          <t>Transjugular intrahepatic portosystemic shunt (TIPS)</t>
        </is>
      </c>
      <c r="B178" s="57" t="inlineStr">
        <is>
          <t>anaesthetic risk if GA used</t>
        </is>
      </c>
      <c r="C178" s="57" t="inlineStr">
        <is>
          <t>Conditional / patient-specific</t>
        </is>
      </c>
      <c r="D178" s="57" t="inlineStr">
        <is>
          <t>Rates vary with patient selection, indication and follow-up; no generic rate supplied</t>
        </is>
      </c>
      <c r="E178" s="57" t="inlineStr">
        <is>
          <t>[22] Lucatelli et al. CIRSE Standards of Practice on Transjugular Intrahepatic Portosystemic Shunts. 2024; DOI 10.1007/s00270-024-03866-y; PMID 39550753. [23] BSIR/RCR TIPS patient leaflet; current hosted PDF states approved 25 Feb 2011</t>
        </is>
      </c>
      <c r="F178" s="59" t="inlineStr"/>
      <c r="G178" s="59" t="inlineStr"/>
      <c r="H178" s="59" t="inlineStr"/>
      <c r="I178" s="59" t="inlineStr"/>
      <c r="J178" s="59" t="inlineStr"/>
      <c r="K178" s="59" t="inlineStr"/>
      <c r="L178" s="59" t="inlineStr"/>
      <c r="M178" s="59" t="inlineStr"/>
      <c r="N178" s="57">
        <f>COUNT(F178:M178)</f>
        <v/>
      </c>
      <c r="O178" s="60">
        <f>IF(N178=0,"",COUNTIF(F178:M178,"&gt;=4")/N178)</f>
        <v/>
      </c>
      <c r="P178" s="60">
        <f>IF(N178=0,"",COUNTIF(F178:M178,"&lt;=2")/N178)</f>
        <v/>
      </c>
      <c r="Q178" s="57">
        <f>IF(N178=0,"",MEDIAN(F178:M178))</f>
        <v/>
      </c>
      <c r="R178" s="61">
        <f>IF(N178=0,"Not scored",IF(O178&gt;=0.8,"Include",IF(P178&gt;=0.8,"Exclude","Round 2")))</f>
        <v/>
      </c>
      <c r="S178" s="57" t="inlineStr"/>
      <c r="T178" s="57" t="inlineStr"/>
    </row>
    <row r="179">
      <c r="A179" s="57" t="inlineStr">
        <is>
          <t>Transjugular intrahepatic portosystemic shunt (TIPS)</t>
        </is>
      </c>
      <c r="B179" s="57" t="inlineStr">
        <is>
          <t>Baseline liver reserve, cardiac reserve, indication, encephalopathy history and shunt size</t>
        </is>
      </c>
      <c r="C179" s="57" t="inlineStr">
        <is>
          <t>Conditional / patient-specific</t>
        </is>
      </c>
      <c r="D179" s="57" t="inlineStr">
        <is>
          <t>Rates vary with patient selection, indication and follow-up; no generic rate supplied</t>
        </is>
      </c>
      <c r="E179" s="57" t="inlineStr">
        <is>
          <t>[22] Lucatelli et al. CIRSE Standards of Practice on Transjugular Intrahepatic Portosystemic Shunts. 2024; DOI 10.1007/s00270-024-03866-y; PMID 39550753. [23] BSIR/RCR TIPS patient leaflet; current hosted PDF states approved 25 Feb 2011</t>
        </is>
      </c>
      <c r="F179" s="59" t="inlineStr"/>
      <c r="G179" s="59" t="inlineStr"/>
      <c r="H179" s="59" t="inlineStr"/>
      <c r="I179" s="59" t="inlineStr"/>
      <c r="J179" s="59" t="inlineStr"/>
      <c r="K179" s="59" t="inlineStr"/>
      <c r="L179" s="59" t="inlineStr"/>
      <c r="M179" s="59" t="inlineStr"/>
      <c r="N179" s="57">
        <f>COUNT(F179:M179)</f>
        <v/>
      </c>
      <c r="O179" s="60">
        <f>IF(N179=0,"",COUNTIF(F179:M179,"&gt;=4")/N179)</f>
        <v/>
      </c>
      <c r="P179" s="60">
        <f>IF(N179=0,"",COUNTIF(F179:M179,"&lt;=2")/N179)</f>
        <v/>
      </c>
      <c r="Q179" s="57">
        <f>IF(N179=0,"",MEDIAN(F179:M179))</f>
        <v/>
      </c>
      <c r="R179" s="61">
        <f>IF(N179=0,"Not scored",IF(O179&gt;=0.8,"Include",IF(P179&gt;=0.8,"Exclude","Round 2")))</f>
        <v/>
      </c>
      <c r="S179" s="57" t="inlineStr"/>
      <c r="T179" s="57" t="inlineStr"/>
    </row>
    <row r="180">
      <c r="A180" s="57" t="inlineStr">
        <is>
          <t>Tunneled dialysis catheter insertion</t>
        </is>
      </c>
      <c r="B180" s="57" t="inlineStr">
        <is>
          <t>Catheter malfunction/malposition</t>
        </is>
      </c>
      <c r="C180" s="57" t="inlineStr">
        <is>
          <t>Core candidate</t>
        </is>
      </c>
      <c r="D180" s="57" t="inlineStr">
        <is>
          <t>Incidence depends on insertion site, technique and follow-up; no universal rate supplied</t>
        </is>
      </c>
      <c r="E180" s="57" t="inlineStr">
        <is>
          <t>[21] UK Kidney Association Clinical Practice Guideline on vascular access for haemodialysis. 2025; [24] Schröppel et al. Placement of tunnelled haemodialysis catheters—interventional standard. Online 2024/print 2025; DOI 10.1093/ndt/gfae181; PMID 39152048. [40] ACR Appropriateness Criteria Central Venous Access Device and Site Selection. 2023; DOI 10.1016/j.jacr.2023.02.021; PMID 37236750</t>
        </is>
      </c>
      <c r="F180" s="59" t="inlineStr"/>
      <c r="G180" s="59" t="inlineStr"/>
      <c r="H180" s="59" t="inlineStr"/>
      <c r="I180" s="59" t="inlineStr"/>
      <c r="J180" s="59" t="inlineStr"/>
      <c r="K180" s="59" t="inlineStr"/>
      <c r="L180" s="59" t="inlineStr"/>
      <c r="M180" s="59" t="inlineStr"/>
      <c r="N180" s="57">
        <f>COUNT(F180:M180)</f>
        <v/>
      </c>
      <c r="O180" s="60">
        <f>IF(N180=0,"",COUNTIF(F180:M180,"&gt;=4")/N180)</f>
        <v/>
      </c>
      <c r="P180" s="60">
        <f>IF(N180=0,"",COUNTIF(F180:M180,"&lt;=2")/N180)</f>
        <v/>
      </c>
      <c r="Q180" s="57">
        <f>IF(N180=0,"",MEDIAN(F180:M180))</f>
        <v/>
      </c>
      <c r="R180" s="61">
        <f>IF(N180=0,"Not scored",IF(O180&gt;=0.8,"Include",IF(P180&gt;=0.8,"Exclude","Round 2")))</f>
        <v/>
      </c>
      <c r="S180" s="57" t="inlineStr"/>
      <c r="T180" s="57" t="inlineStr"/>
    </row>
    <row r="181">
      <c r="A181" s="57" t="inlineStr">
        <is>
          <t>Tunneled dialysis catheter insertion</t>
        </is>
      </c>
      <c r="B181" s="57" t="inlineStr">
        <is>
          <t>local pain</t>
        </is>
      </c>
      <c r="C181" s="57" t="inlineStr">
        <is>
          <t>Core candidate</t>
        </is>
      </c>
      <c r="D181" s="57" t="inlineStr">
        <is>
          <t>Incidence depends on insertion site, technique and follow-up; no universal rate supplied</t>
        </is>
      </c>
      <c r="E181" s="57" t="inlineStr">
        <is>
          <t>[21] UK Kidney Association Clinical Practice Guideline on vascular access for haemodialysis. 2025; [24] Schröppel et al. Placement of tunnelled haemodialysis catheters—interventional standard. Online 2024/print 2025; DOI 10.1093/ndt/gfae181; PMID 39152048. [40] ACR Appropriateness Criteria Central Venous Access Device and Site Selection. 2023; DOI 10.1016/j.jacr.2023.02.021; PMID 37236750</t>
        </is>
      </c>
      <c r="F181" s="59" t="inlineStr"/>
      <c r="G181" s="59" t="inlineStr"/>
      <c r="H181" s="59" t="inlineStr"/>
      <c r="I181" s="59" t="inlineStr"/>
      <c r="J181" s="59" t="inlineStr"/>
      <c r="K181" s="59" t="inlineStr"/>
      <c r="L181" s="59" t="inlineStr"/>
      <c r="M181" s="59" t="inlineStr"/>
      <c r="N181" s="57">
        <f>COUNT(F181:M181)</f>
        <v/>
      </c>
      <c r="O181" s="60">
        <f>IF(N181=0,"",COUNTIF(F181:M181,"&gt;=4")/N181)</f>
        <v/>
      </c>
      <c r="P181" s="60">
        <f>IF(N181=0,"",COUNTIF(F181:M181,"&lt;=2")/N181)</f>
        <v/>
      </c>
      <c r="Q181" s="57">
        <f>IF(N181=0,"",MEDIAN(F181:M181))</f>
        <v/>
      </c>
      <c r="R181" s="61">
        <f>IF(N181=0,"Not scored",IF(O181&gt;=0.8,"Include",IF(P181&gt;=0.8,"Exclude","Round 2")))</f>
        <v/>
      </c>
      <c r="S181" s="57" t="inlineStr"/>
      <c r="T181" s="57" t="inlineStr"/>
    </row>
    <row r="182">
      <c r="A182" s="57" t="inlineStr">
        <is>
          <t>Tunneled dialysis catheter insertion</t>
        </is>
      </c>
      <c r="B182" s="57" t="inlineStr">
        <is>
          <t>Arterial puncture, bleeding/haematoma, arrhythmia, pneumothorax/haemothorax (site-dependent), infection, venous thrombosis/stenosis</t>
        </is>
      </c>
      <c r="C182" s="57" t="inlineStr">
        <is>
          <t>Core candidate</t>
        </is>
      </c>
      <c r="D182" s="57" t="inlineStr">
        <is>
          <t>Incidence depends on insertion site, technique and follow-up; no universal rate supplied</t>
        </is>
      </c>
      <c r="E182" s="57" t="inlineStr">
        <is>
          <t>[21] UK Kidney Association Clinical Practice Guideline on vascular access for haemodialysis. 2025; [24] Schröppel et al. Placement of tunnelled haemodialysis catheters—interventional standard. Online 2024/print 2025; DOI 10.1093/ndt/gfae181; PMID 39152048. [40] ACR Appropriateness Criteria Central Venous Access Device and Site Selection. 2023; DOI 10.1016/j.jacr.2023.02.021; PMID 37236750</t>
        </is>
      </c>
      <c r="F182" s="59" t="inlineStr"/>
      <c r="G182" s="59" t="inlineStr"/>
      <c r="H182" s="59" t="inlineStr"/>
      <c r="I182" s="59" t="inlineStr"/>
      <c r="J182" s="59" t="inlineStr"/>
      <c r="K182" s="59" t="inlineStr"/>
      <c r="L182" s="59" t="inlineStr"/>
      <c r="M182" s="59" t="inlineStr"/>
      <c r="N182" s="57">
        <f>COUNT(F182:M182)</f>
        <v/>
      </c>
      <c r="O182" s="60">
        <f>IF(N182=0,"",COUNTIF(F182:M182,"&gt;=4")/N182)</f>
        <v/>
      </c>
      <c r="P182" s="60">
        <f>IF(N182=0,"",COUNTIF(F182:M182,"&lt;=2")/N182)</f>
        <v/>
      </c>
      <c r="Q182" s="57">
        <f>IF(N182=0,"",MEDIAN(F182:M182))</f>
        <v/>
      </c>
      <c r="R182" s="61">
        <f>IF(N182=0,"Not scored",IF(O182&gt;=0.8,"Include",IF(P182&gt;=0.8,"Exclude","Round 2")))</f>
        <v/>
      </c>
      <c r="S182" s="57" t="inlineStr"/>
      <c r="T182" s="57" t="inlineStr"/>
    </row>
    <row r="183">
      <c r="A183" s="57" t="inlineStr">
        <is>
          <t>Tunneled dialysis catheter insertion</t>
        </is>
      </c>
      <c r="B183" s="57" t="inlineStr">
        <is>
          <t>Air embolism, major vascular injury or severe haemorrhage</t>
        </is>
      </c>
      <c r="C183" s="57" t="inlineStr">
        <is>
          <t>Core candidate</t>
        </is>
      </c>
      <c r="D183" s="57" t="inlineStr">
        <is>
          <t>Incidence depends on insertion site, technique and follow-up; no universal rate supplied</t>
        </is>
      </c>
      <c r="E183" s="57" t="inlineStr">
        <is>
          <t>[21] UK Kidney Association Clinical Practice Guideline on vascular access for haemodialysis. 2025; [24] Schröppel et al. Placement of tunnelled haemodialysis catheters—interventional standard. Online 2024/print 2025; DOI 10.1093/ndt/gfae181; PMID 39152048. [40] ACR Appropriateness Criteria Central Venous Access Device and Site Selection. 2023; DOI 10.1016/j.jacr.2023.02.021; PMID 37236750</t>
        </is>
      </c>
      <c r="F183" s="59" t="inlineStr"/>
      <c r="G183" s="59" t="inlineStr"/>
      <c r="H183" s="59" t="inlineStr"/>
      <c r="I183" s="59" t="inlineStr"/>
      <c r="J183" s="59" t="inlineStr"/>
      <c r="K183" s="59" t="inlineStr"/>
      <c r="L183" s="59" t="inlineStr"/>
      <c r="M183" s="59" t="inlineStr"/>
      <c r="N183" s="57">
        <f>COUNT(F183:M183)</f>
        <v/>
      </c>
      <c r="O183" s="60">
        <f>IF(N183=0,"",COUNTIF(F183:M183,"&gt;=4")/N183)</f>
        <v/>
      </c>
      <c r="P183" s="60">
        <f>IF(N183=0,"",COUNTIF(F183:M183,"&lt;=2")/N183)</f>
        <v/>
      </c>
      <c r="Q183" s="57">
        <f>IF(N183=0,"",MEDIAN(F183:M183))</f>
        <v/>
      </c>
      <c r="R183" s="61">
        <f>IF(N183=0,"Not scored",IF(O183&gt;=0.8,"Include",IF(P183&gt;=0.8,"Exclude","Round 2")))</f>
        <v/>
      </c>
      <c r="S183" s="57" t="inlineStr"/>
      <c r="T183" s="57" t="inlineStr"/>
    </row>
    <row r="184">
      <c r="A184" s="57" t="inlineStr">
        <is>
          <t>Tunneled dialysis catheter insertion</t>
        </is>
      </c>
      <c r="B184" s="57" t="inlineStr">
        <is>
          <t>catheter failure requiring replacement</t>
        </is>
      </c>
      <c r="C184" s="57" t="inlineStr">
        <is>
          <t>Core candidate</t>
        </is>
      </c>
      <c r="D184" s="57" t="inlineStr">
        <is>
          <t>Incidence depends on insertion site, technique and follow-up; no universal rate supplied</t>
        </is>
      </c>
      <c r="E184" s="57" t="inlineStr">
        <is>
          <t>[21] UK Kidney Association Clinical Practice Guideline on vascular access for haemodialysis. 2025; [24] Schröppel et al. Placement of tunnelled haemodialysis catheters—interventional standard. Online 2024/print 2025; DOI 10.1093/ndt/gfae181; PMID 39152048. [40] ACR Appropriateness Criteria Central Venous Access Device and Site Selection. 2023; DOI 10.1016/j.jacr.2023.02.021; PMID 37236750</t>
        </is>
      </c>
      <c r="F184" s="59" t="inlineStr"/>
      <c r="G184" s="59" t="inlineStr"/>
      <c r="H184" s="59" t="inlineStr"/>
      <c r="I184" s="59" t="inlineStr"/>
      <c r="J184" s="59" t="inlineStr"/>
      <c r="K184" s="59" t="inlineStr"/>
      <c r="L184" s="59" t="inlineStr"/>
      <c r="M184" s="59" t="inlineStr"/>
      <c r="N184" s="57">
        <f>COUNT(F184:M184)</f>
        <v/>
      </c>
      <c r="O184" s="60">
        <f>IF(N184=0,"",COUNTIF(F184:M184,"&gt;=4")/N184)</f>
        <v/>
      </c>
      <c r="P184" s="60">
        <f>IF(N184=0,"",COUNTIF(F184:M184,"&lt;=2")/N184)</f>
        <v/>
      </c>
      <c r="Q184" s="57">
        <f>IF(N184=0,"",MEDIAN(F184:M184))</f>
        <v/>
      </c>
      <c r="R184" s="61">
        <f>IF(N184=0,"Not scored",IF(O184&gt;=0.8,"Include",IF(P184&gt;=0.8,"Exclude","Round 2")))</f>
        <v/>
      </c>
      <c r="S184" s="57" t="inlineStr"/>
      <c r="T184" s="57" t="inlineStr"/>
    </row>
    <row r="185">
      <c r="A185" s="57" t="inlineStr">
        <is>
          <t>Tunneled dialysis catheter insertion</t>
        </is>
      </c>
      <c r="B185" s="57" t="inlineStr">
        <is>
          <t>Venous access bleeding/haematoma</t>
        </is>
      </c>
      <c r="C185" s="57" t="inlineStr">
        <is>
          <t>Core candidate</t>
        </is>
      </c>
      <c r="D185" s="57" t="inlineStr">
        <is>
          <t>Incidence depends on insertion site, technique and follow-up; no universal rate supplied</t>
        </is>
      </c>
      <c r="E185" s="57" t="inlineStr">
        <is>
          <t>[21] UK Kidney Association Clinical Practice Guideline on vascular access for haemodialysis. 2025; [24] Schröppel et al. Placement of tunnelled haemodialysis catheters—interventional standard. Online 2024/print 2025; DOI 10.1093/ndt/gfae181; PMID 39152048. [40] ACR Appropriateness Criteria Central Venous Access Device and Site Selection. 2023; DOI 10.1016/j.jacr.2023.02.021; PMID 37236750</t>
        </is>
      </c>
      <c r="F185" s="59" t="inlineStr"/>
      <c r="G185" s="59" t="inlineStr"/>
      <c r="H185" s="59" t="inlineStr"/>
      <c r="I185" s="59" t="inlineStr"/>
      <c r="J185" s="59" t="inlineStr"/>
      <c r="K185" s="59" t="inlineStr"/>
      <c r="L185" s="59" t="inlineStr"/>
      <c r="M185" s="59" t="inlineStr"/>
      <c r="N185" s="57">
        <f>COUNT(F185:M185)</f>
        <v/>
      </c>
      <c r="O185" s="60">
        <f>IF(N185=0,"",COUNTIF(F185:M185,"&gt;=4")/N185)</f>
        <v/>
      </c>
      <c r="P185" s="60">
        <f>IF(N185=0,"",COUNTIF(F185:M185,"&lt;=2")/N185)</f>
        <v/>
      </c>
      <c r="Q185" s="57">
        <f>IF(N185=0,"",MEDIAN(F185:M185))</f>
        <v/>
      </c>
      <c r="R185" s="61">
        <f>IF(N185=0,"Not scored",IF(O185&gt;=0.8,"Include",IF(P185&gt;=0.8,"Exclude","Round 2")))</f>
        <v/>
      </c>
      <c r="S185" s="57" t="inlineStr"/>
      <c r="T185" s="57" t="inlineStr"/>
    </row>
    <row r="186">
      <c r="A186" s="57" t="inlineStr">
        <is>
          <t>Tunneled dialysis catheter insertion</t>
        </is>
      </c>
      <c r="B186" s="57" t="inlineStr">
        <is>
          <t>arterial puncture</t>
        </is>
      </c>
      <c r="C186" s="57" t="inlineStr">
        <is>
          <t>Core candidate</t>
        </is>
      </c>
      <c r="D186" s="57" t="inlineStr">
        <is>
          <t>Incidence depends on insertion site, technique and follow-up; no universal rate supplied</t>
        </is>
      </c>
      <c r="E186" s="57" t="inlineStr">
        <is>
          <t>[21] UK Kidney Association Clinical Practice Guideline on vascular access for haemodialysis. 2025; [24] Schröppel et al. Placement of tunnelled haemodialysis catheters—interventional standard. Online 2024/print 2025; DOI 10.1093/ndt/gfae181; PMID 39152048. [40] ACR Appropriateness Criteria Central Venous Access Device and Site Selection. 2023; DOI 10.1016/j.jacr.2023.02.021; PMID 37236750</t>
        </is>
      </c>
      <c r="F186" s="59" t="inlineStr"/>
      <c r="G186" s="59" t="inlineStr"/>
      <c r="H186" s="59" t="inlineStr"/>
      <c r="I186" s="59" t="inlineStr"/>
      <c r="J186" s="59" t="inlineStr"/>
      <c r="K186" s="59" t="inlineStr"/>
      <c r="L186" s="59" t="inlineStr"/>
      <c r="M186" s="59" t="inlineStr"/>
      <c r="N186" s="57">
        <f>COUNT(F186:M186)</f>
        <v/>
      </c>
      <c r="O186" s="60">
        <f>IF(N186=0,"",COUNTIF(F186:M186,"&gt;=4")/N186)</f>
        <v/>
      </c>
      <c r="P186" s="60">
        <f>IF(N186=0,"",COUNTIF(F186:M186,"&lt;=2")/N186)</f>
        <v/>
      </c>
      <c r="Q186" s="57">
        <f>IF(N186=0,"",MEDIAN(F186:M186))</f>
        <v/>
      </c>
      <c r="R186" s="61">
        <f>IF(N186=0,"Not scored",IF(O186&gt;=0.8,"Include",IF(P186&gt;=0.8,"Exclude","Round 2")))</f>
        <v/>
      </c>
      <c r="S186" s="57" t="inlineStr"/>
      <c r="T186" s="57" t="inlineStr"/>
    </row>
    <row r="187">
      <c r="A187" s="57" t="inlineStr">
        <is>
          <t>Tunneled dialysis catheter insertion</t>
        </is>
      </c>
      <c r="B187" s="57" t="inlineStr">
        <is>
          <t>Fluoroscopy/radiation and contrast if used</t>
        </is>
      </c>
      <c r="C187" s="57" t="inlineStr">
        <is>
          <t>Conditional / patient-specific</t>
        </is>
      </c>
      <c r="D187" s="57" t="inlineStr">
        <is>
          <t>Incidence depends on insertion site, technique and follow-up; no universal rate supplied</t>
        </is>
      </c>
      <c r="E187" s="57" t="inlineStr">
        <is>
          <t>[21] UK Kidney Association Clinical Practice Guideline on vascular access for haemodialysis. 2025; [24] Schröppel et al. Placement of tunnelled haemodialysis catheters—interventional standard. Online 2024/print 2025; DOI 10.1093/ndt/gfae181; PMID 39152048. [40] ACR Appropriateness Criteria Central Venous Access Device and Site Selection. 2023; DOI 10.1016/j.jacr.2023.02.021; PMID 37236750</t>
        </is>
      </c>
      <c r="F187" s="59" t="inlineStr"/>
      <c r="G187" s="59" t="inlineStr"/>
      <c r="H187" s="59" t="inlineStr"/>
      <c r="I187" s="59" t="inlineStr"/>
      <c r="J187" s="59" t="inlineStr"/>
      <c r="K187" s="59" t="inlineStr"/>
      <c r="L187" s="59" t="inlineStr"/>
      <c r="M187" s="59" t="inlineStr"/>
      <c r="N187" s="57">
        <f>COUNT(F187:M187)</f>
        <v/>
      </c>
      <c r="O187" s="60">
        <f>IF(N187=0,"",COUNTIF(F187:M187,"&gt;=4")/N187)</f>
        <v/>
      </c>
      <c r="P187" s="60">
        <f>IF(N187=0,"",COUNTIF(F187:M187,"&lt;=2")/N187)</f>
        <v/>
      </c>
      <c r="Q187" s="57">
        <f>IF(N187=0,"",MEDIAN(F187:M187))</f>
        <v/>
      </c>
      <c r="R187" s="61">
        <f>IF(N187=0,"Not scored",IF(O187&gt;=0.8,"Include",IF(P187&gt;=0.8,"Exclude","Round 2")))</f>
        <v/>
      </c>
      <c r="S187" s="57" t="inlineStr"/>
      <c r="T187" s="57" t="inlineStr"/>
    </row>
    <row r="188">
      <c r="A188" s="57" t="inlineStr">
        <is>
          <t>Tunneled dialysis catheter insertion</t>
        </is>
      </c>
      <c r="B188" s="57" t="inlineStr">
        <is>
          <t>sedation if used</t>
        </is>
      </c>
      <c r="C188" s="57" t="inlineStr">
        <is>
          <t>Conditional / patient-specific</t>
        </is>
      </c>
      <c r="D188" s="57" t="inlineStr">
        <is>
          <t>Incidence depends on insertion site, technique and follow-up; no universal rate supplied</t>
        </is>
      </c>
      <c r="E188" s="57" t="inlineStr">
        <is>
          <t>[21] UK Kidney Association Clinical Practice Guideline on vascular access for haemodialysis. 2025; [24] Schröppel et al. Placement of tunnelled haemodialysis catheters—interventional standard. Online 2024/print 2025; DOI 10.1093/ndt/gfae181; PMID 39152048. [40] ACR Appropriateness Criteria Central Venous Access Device and Site Selection. 2023; DOI 10.1016/j.jacr.2023.02.021; PMID 37236750</t>
        </is>
      </c>
      <c r="F188" s="59" t="inlineStr"/>
      <c r="G188" s="59" t="inlineStr"/>
      <c r="H188" s="59" t="inlineStr"/>
      <c r="I188" s="59" t="inlineStr"/>
      <c r="J188" s="59" t="inlineStr"/>
      <c r="K188" s="59" t="inlineStr"/>
      <c r="L188" s="59" t="inlineStr"/>
      <c r="M188" s="59" t="inlineStr"/>
      <c r="N188" s="57">
        <f>COUNT(F188:M188)</f>
        <v/>
      </c>
      <c r="O188" s="60">
        <f>IF(N188=0,"",COUNTIF(F188:M188,"&gt;=4")/N188)</f>
        <v/>
      </c>
      <c r="P188" s="60">
        <f>IF(N188=0,"",COUNTIF(F188:M188,"&lt;=2")/N188)</f>
        <v/>
      </c>
      <c r="Q188" s="57">
        <f>IF(N188=0,"",MEDIAN(F188:M188))</f>
        <v/>
      </c>
      <c r="R188" s="61">
        <f>IF(N188=0,"Not scored",IF(O188&gt;=0.8,"Include",IF(P188&gt;=0.8,"Exclude","Round 2")))</f>
        <v/>
      </c>
      <c r="S188" s="57" t="inlineStr"/>
      <c r="T188" s="57" t="inlineStr"/>
    </row>
    <row r="189">
      <c r="A189" s="57" t="inlineStr">
        <is>
          <t>Tunneled dialysis catheter insertion</t>
        </is>
      </c>
      <c r="B189" s="57" t="inlineStr">
        <is>
          <t>Access route, prior central venous stenosis/thrombosis, anatomy, coagulopathy and infection status</t>
        </is>
      </c>
      <c r="C189" s="57" t="inlineStr">
        <is>
          <t>Conditional / patient-specific</t>
        </is>
      </c>
      <c r="D189" s="57" t="inlineStr">
        <is>
          <t>Incidence depends on insertion site, technique and follow-up; no universal rate supplied</t>
        </is>
      </c>
      <c r="E189" s="57" t="inlineStr">
        <is>
          <t>[21] UK Kidney Association Clinical Practice Guideline on vascular access for haemodialysis. 2025; [24] Schröppel et al. Placement of tunnelled haemodialysis catheters—interventional standard. Online 2024/print 2025; DOI 10.1093/ndt/gfae181; PMID 39152048. [40] ACR Appropriateness Criteria Central Venous Access Device and Site Selection. 2023; DOI 10.1016/j.jacr.2023.02.021; PMID 37236750</t>
        </is>
      </c>
      <c r="F189" s="59" t="inlineStr"/>
      <c r="G189" s="59" t="inlineStr"/>
      <c r="H189" s="59" t="inlineStr"/>
      <c r="I189" s="59" t="inlineStr"/>
      <c r="J189" s="59" t="inlineStr"/>
      <c r="K189" s="59" t="inlineStr"/>
      <c r="L189" s="59" t="inlineStr"/>
      <c r="M189" s="59" t="inlineStr"/>
      <c r="N189" s="57">
        <f>COUNT(F189:M189)</f>
        <v/>
      </c>
      <c r="O189" s="60">
        <f>IF(N189=0,"",COUNTIF(F189:M189,"&gt;=4")/N189)</f>
        <v/>
      </c>
      <c r="P189" s="60">
        <f>IF(N189=0,"",COUNTIF(F189:M189,"&lt;=2")/N189)</f>
        <v/>
      </c>
      <c r="Q189" s="57">
        <f>IF(N189=0,"",MEDIAN(F189:M189))</f>
        <v/>
      </c>
      <c r="R189" s="61">
        <f>IF(N189=0,"Not scored",IF(O189&gt;=0.8,"Include",IF(P189&gt;=0.8,"Exclude","Round 2")))</f>
        <v/>
      </c>
      <c r="S189" s="57" t="inlineStr"/>
      <c r="T189" s="57" t="inlineStr"/>
    </row>
    <row r="190">
      <c r="A190" s="57" t="inlineStr">
        <is>
          <t>Uterine artery embolisation for fibroids (UAE)</t>
        </is>
      </c>
      <c r="B190" s="57" t="inlineStr">
        <is>
          <t>Pain, nausea, fever and post-embolisation syndrome (expected/common)</t>
        </is>
      </c>
      <c r="C190" s="57" t="inlineStr">
        <is>
          <t>Core candidate</t>
        </is>
      </c>
      <c r="D190" s="57" t="inlineStr">
        <is>
          <t>No universal rate used; risk varies with age, patient selection and definitions</t>
        </is>
      </c>
      <c r="E190" s="57" t="inlineStr">
        <is>
          <t>[25] SIR Quality Improvement Guidelines for Uterine Artery Embolization for Symptomatic Leiomyomata. Listed by SIR in 2025; exact final record/page to verify via SIR library. [26] CIRSE Uterine Artery Embolisation patient information. 2025</t>
        </is>
      </c>
      <c r="F190" s="59" t="inlineStr"/>
      <c r="G190" s="59" t="inlineStr"/>
      <c r="H190" s="59" t="inlineStr"/>
      <c r="I190" s="59" t="inlineStr"/>
      <c r="J190" s="59" t="inlineStr"/>
      <c r="K190" s="59" t="inlineStr"/>
      <c r="L190" s="59" t="inlineStr"/>
      <c r="M190" s="59" t="inlineStr"/>
      <c r="N190" s="57">
        <f>COUNT(F190:M190)</f>
        <v/>
      </c>
      <c r="O190" s="60">
        <f>IF(N190=0,"",COUNTIF(F190:M190,"&gt;=4")/N190)</f>
        <v/>
      </c>
      <c r="P190" s="60">
        <f>IF(N190=0,"",COUNTIF(F190:M190,"&lt;=2")/N190)</f>
        <v/>
      </c>
      <c r="Q190" s="57">
        <f>IF(N190=0,"",MEDIAN(F190:M190))</f>
        <v/>
      </c>
      <c r="R190" s="61">
        <f>IF(N190=0,"Not scored",IF(O190&gt;=0.8,"Include",IF(P190&gt;=0.8,"Exclude","Round 2")))</f>
        <v/>
      </c>
      <c r="S190" s="57" t="inlineStr"/>
      <c r="T190" s="57" t="inlineStr"/>
    </row>
    <row r="191">
      <c r="A191" s="57" t="inlineStr">
        <is>
          <t>Uterine artery embolisation for fibroids (UAE)</t>
        </is>
      </c>
      <c r="B191" s="57" t="inlineStr">
        <is>
          <t>fibroid expulsion</t>
        </is>
      </c>
      <c r="C191" s="57" t="inlineStr">
        <is>
          <t>Core candidate</t>
        </is>
      </c>
      <c r="D191" s="57" t="inlineStr">
        <is>
          <t>No universal rate used; risk varies with age, patient selection and definitions</t>
        </is>
      </c>
      <c r="E191" s="57" t="inlineStr">
        <is>
          <t>[25] SIR Quality Improvement Guidelines for Uterine Artery Embolization for Symptomatic Leiomyomata. Listed by SIR in 2025; exact final record/page to verify via SIR library. [26] CIRSE Uterine Artery Embolisation patient information. 2025</t>
        </is>
      </c>
      <c r="F191" s="59" t="inlineStr"/>
      <c r="G191" s="59" t="inlineStr"/>
      <c r="H191" s="59" t="inlineStr"/>
      <c r="I191" s="59" t="inlineStr"/>
      <c r="J191" s="59" t="inlineStr"/>
      <c r="K191" s="59" t="inlineStr"/>
      <c r="L191" s="59" t="inlineStr"/>
      <c r="M191" s="59" t="inlineStr"/>
      <c r="N191" s="57">
        <f>COUNT(F191:M191)</f>
        <v/>
      </c>
      <c r="O191" s="60">
        <f>IF(N191=0,"",COUNTIF(F191:M191,"&gt;=4")/N191)</f>
        <v/>
      </c>
      <c r="P191" s="60">
        <f>IF(N191=0,"",COUNTIF(F191:M191,"&lt;=2")/N191)</f>
        <v/>
      </c>
      <c r="Q191" s="57">
        <f>IF(N191=0,"",MEDIAN(F191:M191))</f>
        <v/>
      </c>
      <c r="R191" s="61">
        <f>IF(N191=0,"Not scored",IF(O191&gt;=0.8,"Include",IF(P191&gt;=0.8,"Exclude","Round 2")))</f>
        <v/>
      </c>
      <c r="S191" s="57" t="inlineStr"/>
      <c r="T191" s="57" t="inlineStr"/>
    </row>
    <row r="192">
      <c r="A192" s="57" t="inlineStr">
        <is>
          <t>Uterine artery embolisation for fibroids (UAE)</t>
        </is>
      </c>
      <c r="B192" s="57" t="inlineStr">
        <is>
          <t>Infection/endometritis</t>
        </is>
      </c>
      <c r="C192" s="57" t="inlineStr">
        <is>
          <t>Core candidate</t>
        </is>
      </c>
      <c r="D192" s="57" t="inlineStr">
        <is>
          <t>No universal rate used; risk varies with age, patient selection and definitions</t>
        </is>
      </c>
      <c r="E192" s="57" t="inlineStr">
        <is>
          <t>[25] SIR Quality Improvement Guidelines for Uterine Artery Embolization for Symptomatic Leiomyomata. Listed by SIR in 2025; exact final record/page to verify via SIR library. [26] CIRSE Uterine Artery Embolisation patient information. 2025</t>
        </is>
      </c>
      <c r="F192" s="59" t="inlineStr"/>
      <c r="G192" s="59" t="inlineStr"/>
      <c r="H192" s="59" t="inlineStr"/>
      <c r="I192" s="59" t="inlineStr"/>
      <c r="J192" s="59" t="inlineStr"/>
      <c r="K192" s="59" t="inlineStr"/>
      <c r="L192" s="59" t="inlineStr"/>
      <c r="M192" s="59" t="inlineStr"/>
      <c r="N192" s="57">
        <f>COUNT(F192:M192)</f>
        <v/>
      </c>
      <c r="O192" s="60">
        <f>IF(N192=0,"",COUNTIF(F192:M192,"&gt;=4")/N192)</f>
        <v/>
      </c>
      <c r="P192" s="60">
        <f>IF(N192=0,"",COUNTIF(F192:M192,"&lt;=2")/N192)</f>
        <v/>
      </c>
      <c r="Q192" s="57">
        <f>IF(N192=0,"",MEDIAN(F192:M192))</f>
        <v/>
      </c>
      <c r="R192" s="61">
        <f>IF(N192=0,"Not scored",IF(O192&gt;=0.8,"Include",IF(P192&gt;=0.8,"Exclude","Round 2")))</f>
        <v/>
      </c>
      <c r="S192" s="57" t="inlineStr"/>
      <c r="T192" s="57" t="inlineStr"/>
    </row>
    <row r="193">
      <c r="A193" s="57" t="inlineStr">
        <is>
          <t>Uterine artery embolisation for fibroids (UAE)</t>
        </is>
      </c>
      <c r="B193" s="57" t="inlineStr">
        <is>
          <t>persistent symptoms or repeat treatment</t>
        </is>
      </c>
      <c r="C193" s="57" t="inlineStr">
        <is>
          <t>Core candidate</t>
        </is>
      </c>
      <c r="D193" s="57" t="inlineStr">
        <is>
          <t>No universal rate used; risk varies with age, patient selection and definitions</t>
        </is>
      </c>
      <c r="E193" s="57" t="inlineStr">
        <is>
          <t>[25] SIR Quality Improvement Guidelines for Uterine Artery Embolization for Symptomatic Leiomyomata. Listed by SIR in 2025; exact final record/page to verify via SIR library. [26] CIRSE Uterine Artery Embolisation patient information. 2025</t>
        </is>
      </c>
      <c r="F193" s="59" t="inlineStr"/>
      <c r="G193" s="59" t="inlineStr"/>
      <c r="H193" s="59" t="inlineStr"/>
      <c r="I193" s="59" t="inlineStr"/>
      <c r="J193" s="59" t="inlineStr"/>
      <c r="K193" s="59" t="inlineStr"/>
      <c r="L193" s="59" t="inlineStr"/>
      <c r="M193" s="59" t="inlineStr"/>
      <c r="N193" s="57">
        <f>COUNT(F193:M193)</f>
        <v/>
      </c>
      <c r="O193" s="60">
        <f>IF(N193=0,"",COUNTIF(F193:M193,"&gt;=4")/N193)</f>
        <v/>
      </c>
      <c r="P193" s="60">
        <f>IF(N193=0,"",COUNTIF(F193:M193,"&lt;=2")/N193)</f>
        <v/>
      </c>
      <c r="Q193" s="57">
        <f>IF(N193=0,"",MEDIAN(F193:M193))</f>
        <v/>
      </c>
      <c r="R193" s="61">
        <f>IF(N193=0,"Not scored",IF(O193&gt;=0.8,"Include",IF(P193&gt;=0.8,"Exclude","Round 2")))</f>
        <v/>
      </c>
      <c r="S193" s="57" t="inlineStr"/>
      <c r="T193" s="57" t="inlineStr"/>
    </row>
    <row r="194">
      <c r="A194" s="57" t="inlineStr">
        <is>
          <t>Uterine artery embolisation for fibroids (UAE)</t>
        </is>
      </c>
      <c r="B194" s="57" t="inlineStr">
        <is>
          <t>Non-target ischaemia/necrosis</t>
        </is>
      </c>
      <c r="C194" s="57" t="inlineStr">
        <is>
          <t>Core candidate</t>
        </is>
      </c>
      <c r="D194" s="57" t="inlineStr">
        <is>
          <t>No universal rate used; risk varies with age, patient selection and definitions</t>
        </is>
      </c>
      <c r="E194" s="57" t="inlineStr">
        <is>
          <t>[25] SIR Quality Improvement Guidelines for Uterine Artery Embolization for Symptomatic Leiomyomata. Listed by SIR in 2025; exact final record/page to verify via SIR library. [26] CIRSE Uterine Artery Embolisation patient information. 2025</t>
        </is>
      </c>
      <c r="F194" s="59" t="inlineStr"/>
      <c r="G194" s="59" t="inlineStr"/>
      <c r="H194" s="59" t="inlineStr"/>
      <c r="I194" s="59" t="inlineStr"/>
      <c r="J194" s="59" t="inlineStr"/>
      <c r="K194" s="59" t="inlineStr"/>
      <c r="L194" s="59" t="inlineStr"/>
      <c r="M194" s="59" t="inlineStr"/>
      <c r="N194" s="57">
        <f>COUNT(F194:M194)</f>
        <v/>
      </c>
      <c r="O194" s="60">
        <f>IF(N194=0,"",COUNTIF(F194:M194,"&gt;=4")/N194)</f>
        <v/>
      </c>
      <c r="P194" s="60">
        <f>IF(N194=0,"",COUNTIF(F194:M194,"&lt;=2")/N194)</f>
        <v/>
      </c>
      <c r="Q194" s="57">
        <f>IF(N194=0,"",MEDIAN(F194:M194))</f>
        <v/>
      </c>
      <c r="R194" s="61">
        <f>IF(N194=0,"Not scored",IF(O194&gt;=0.8,"Include",IF(P194&gt;=0.8,"Exclude","Round 2")))</f>
        <v/>
      </c>
      <c r="S194" s="57" t="inlineStr"/>
      <c r="T194" s="57" t="inlineStr"/>
    </row>
    <row r="195">
      <c r="A195" s="57" t="inlineStr">
        <is>
          <t>Uterine artery embolisation for fibroids (UAE)</t>
        </is>
      </c>
      <c r="B195" s="57" t="inlineStr">
        <is>
          <t>ovarian dysfunction/amenorrhoea or earlier menopause</t>
        </is>
      </c>
      <c r="C195" s="57" t="inlineStr">
        <is>
          <t>Core candidate</t>
        </is>
      </c>
      <c r="D195" s="57" t="inlineStr">
        <is>
          <t>No universal rate used; risk varies with age, patient selection and definitions</t>
        </is>
      </c>
      <c r="E195" s="57" t="inlineStr">
        <is>
          <t>[25] SIR Quality Improvement Guidelines for Uterine Artery Embolization for Symptomatic Leiomyomata. Listed by SIR in 2025; exact final record/page to verify via SIR library. [26] CIRSE Uterine Artery Embolisation patient information. 2025</t>
        </is>
      </c>
      <c r="F195" s="59" t="inlineStr"/>
      <c r="G195" s="59" t="inlineStr"/>
      <c r="H195" s="59" t="inlineStr"/>
      <c r="I195" s="59" t="inlineStr"/>
      <c r="J195" s="59" t="inlineStr"/>
      <c r="K195" s="59" t="inlineStr"/>
      <c r="L195" s="59" t="inlineStr"/>
      <c r="M195" s="59" t="inlineStr"/>
      <c r="N195" s="57">
        <f>COUNT(F195:M195)</f>
        <v/>
      </c>
      <c r="O195" s="60">
        <f>IF(N195=0,"",COUNTIF(F195:M195,"&gt;=4")/N195)</f>
        <v/>
      </c>
      <c r="P195" s="60">
        <f>IF(N195=0,"",COUNTIF(F195:M195,"&lt;=2")/N195)</f>
        <v/>
      </c>
      <c r="Q195" s="57">
        <f>IF(N195=0,"",MEDIAN(F195:M195))</f>
        <v/>
      </c>
      <c r="R195" s="61">
        <f>IF(N195=0,"Not scored",IF(O195&gt;=0.8,"Include",IF(P195&gt;=0.8,"Exclude","Round 2")))</f>
        <v/>
      </c>
      <c r="S195" s="57" t="inlineStr"/>
      <c r="T195" s="57" t="inlineStr"/>
    </row>
    <row r="196">
      <c r="A196" s="57" t="inlineStr">
        <is>
          <t>Uterine artery embolisation for fibroids (UAE)</t>
        </is>
      </c>
      <c r="B196" s="57" t="inlineStr">
        <is>
          <t>hysterectomy</t>
        </is>
      </c>
      <c r="C196" s="57" t="inlineStr">
        <is>
          <t>Core candidate</t>
        </is>
      </c>
      <c r="D196" s="57" t="inlineStr">
        <is>
          <t>No universal rate used; risk varies with age, patient selection and definitions</t>
        </is>
      </c>
      <c r="E196" s="57" t="inlineStr">
        <is>
          <t>[25] SIR Quality Improvement Guidelines for Uterine Artery Embolization for Symptomatic Leiomyomata. Listed by SIR in 2025; exact final record/page to verify via SIR library. [26] CIRSE Uterine Artery Embolisation patient information. 2025</t>
        </is>
      </c>
      <c r="F196" s="59" t="inlineStr"/>
      <c r="G196" s="59" t="inlineStr"/>
      <c r="H196" s="59" t="inlineStr"/>
      <c r="I196" s="59" t="inlineStr"/>
      <c r="J196" s="59" t="inlineStr"/>
      <c r="K196" s="59" t="inlineStr"/>
      <c r="L196" s="59" t="inlineStr"/>
      <c r="M196" s="59" t="inlineStr"/>
      <c r="N196" s="57">
        <f>COUNT(F196:M196)</f>
        <v/>
      </c>
      <c r="O196" s="60">
        <f>IF(N196=0,"",COUNTIF(F196:M196,"&gt;=4")/N196)</f>
        <v/>
      </c>
      <c r="P196" s="60">
        <f>IF(N196=0,"",COUNTIF(F196:M196,"&lt;=2")/N196)</f>
        <v/>
      </c>
      <c r="Q196" s="57">
        <f>IF(N196=0,"",MEDIAN(F196:M196))</f>
        <v/>
      </c>
      <c r="R196" s="61">
        <f>IF(N196=0,"Not scored",IF(O196&gt;=0.8,"Include",IF(P196&gt;=0.8,"Exclude","Round 2")))</f>
        <v/>
      </c>
      <c r="S196" s="57" t="inlineStr"/>
      <c r="T196" s="57" t="inlineStr"/>
    </row>
    <row r="197">
      <c r="A197" s="57" t="inlineStr">
        <is>
          <t>Uterine artery embolisation for fibroids (UAE)</t>
        </is>
      </c>
      <c r="B197" s="57" t="inlineStr">
        <is>
          <t>fertility/pregnancy implications</t>
        </is>
      </c>
      <c r="C197" s="57" t="inlineStr">
        <is>
          <t>Core candidate</t>
        </is>
      </c>
      <c r="D197" s="57" t="inlineStr">
        <is>
          <t>No universal rate used; risk varies with age, patient selection and definitions</t>
        </is>
      </c>
      <c r="E197" s="57" t="inlineStr">
        <is>
          <t>[25] SIR Quality Improvement Guidelines for Uterine Artery Embolization for Symptomatic Leiomyomata. Listed by SIR in 2025; exact final record/page to verify via SIR library. [26] CIRSE Uterine Artery Embolisation patient information. 2025</t>
        </is>
      </c>
      <c r="F197" s="59" t="inlineStr"/>
      <c r="G197" s="59" t="inlineStr"/>
      <c r="H197" s="59" t="inlineStr"/>
      <c r="I197" s="59" t="inlineStr"/>
      <c r="J197" s="59" t="inlineStr"/>
      <c r="K197" s="59" t="inlineStr"/>
      <c r="L197" s="59" t="inlineStr"/>
      <c r="M197" s="59" t="inlineStr"/>
      <c r="N197" s="57">
        <f>COUNT(F197:M197)</f>
        <v/>
      </c>
      <c r="O197" s="60">
        <f>IF(N197=0,"",COUNTIF(F197:M197,"&gt;=4")/N197)</f>
        <v/>
      </c>
      <c r="P197" s="60">
        <f>IF(N197=0,"",COUNTIF(F197:M197,"&lt;=2")/N197)</f>
        <v/>
      </c>
      <c r="Q197" s="57">
        <f>IF(N197=0,"",MEDIAN(F197:M197))</f>
        <v/>
      </c>
      <c r="R197" s="61">
        <f>IF(N197=0,"Not scored",IF(O197&gt;=0.8,"Include",IF(P197&gt;=0.8,"Exclude","Round 2")))</f>
        <v/>
      </c>
      <c r="S197" s="57" t="inlineStr"/>
      <c r="T197" s="57" t="inlineStr"/>
    </row>
    <row r="198">
      <c r="A198" s="57" t="inlineStr">
        <is>
          <t>Uterine artery embolisation for fibroids (UAE)</t>
        </is>
      </c>
      <c r="B198" s="57" t="inlineStr">
        <is>
          <t>Access bleeding/haematoma</t>
        </is>
      </c>
      <c r="C198" s="57" t="inlineStr">
        <is>
          <t>Core candidate</t>
        </is>
      </c>
      <c r="D198" s="57" t="inlineStr">
        <is>
          <t>No universal rate used; risk varies with age, patient selection and definitions</t>
        </is>
      </c>
      <c r="E198" s="57" t="inlineStr">
        <is>
          <t>[25] SIR Quality Improvement Guidelines for Uterine Artery Embolization for Symptomatic Leiomyomata. Listed by SIR in 2025; exact final record/page to verify via SIR library. [26] CIRSE Uterine Artery Embolisation patient information. 2025</t>
        </is>
      </c>
      <c r="F198" s="59" t="inlineStr"/>
      <c r="G198" s="59" t="inlineStr"/>
      <c r="H198" s="59" t="inlineStr"/>
      <c r="I198" s="59" t="inlineStr"/>
      <c r="J198" s="59" t="inlineStr"/>
      <c r="K198" s="59" t="inlineStr"/>
      <c r="L198" s="59" t="inlineStr"/>
      <c r="M198" s="59" t="inlineStr"/>
      <c r="N198" s="57">
        <f>COUNT(F198:M198)</f>
        <v/>
      </c>
      <c r="O198" s="60">
        <f>IF(N198=0,"",COUNTIF(F198:M198,"&gt;=4")/N198)</f>
        <v/>
      </c>
      <c r="P198" s="60">
        <f>IF(N198=0,"",COUNTIF(F198:M198,"&lt;=2")/N198)</f>
        <v/>
      </c>
      <c r="Q198" s="57">
        <f>IF(N198=0,"",MEDIAN(F198:M198))</f>
        <v/>
      </c>
      <c r="R198" s="61">
        <f>IF(N198=0,"Not scored",IF(O198&gt;=0.8,"Include",IF(P198&gt;=0.8,"Exclude","Round 2")))</f>
        <v/>
      </c>
      <c r="S198" s="57" t="inlineStr"/>
      <c r="T198" s="57" t="inlineStr"/>
    </row>
    <row r="199">
      <c r="A199" s="57" t="inlineStr">
        <is>
          <t>Uterine artery embolisation for fibroids (UAE)</t>
        </is>
      </c>
      <c r="B199" s="57" t="inlineStr">
        <is>
          <t>arterial injury</t>
        </is>
      </c>
      <c r="C199" s="57" t="inlineStr">
        <is>
          <t>Core candidate</t>
        </is>
      </c>
      <c r="D199" s="57" t="inlineStr">
        <is>
          <t>No universal rate used; risk varies with age, patient selection and definitions</t>
        </is>
      </c>
      <c r="E199" s="57" t="inlineStr">
        <is>
          <t>[25] SIR Quality Improvement Guidelines for Uterine Artery Embolization for Symptomatic Leiomyomata. Listed by SIR in 2025; exact final record/page to verify via SIR library. [26] CIRSE Uterine Artery Embolisation patient information. 2025</t>
        </is>
      </c>
      <c r="F199" s="59" t="inlineStr"/>
      <c r="G199" s="59" t="inlineStr"/>
      <c r="H199" s="59" t="inlineStr"/>
      <c r="I199" s="59" t="inlineStr"/>
      <c r="J199" s="59" t="inlineStr"/>
      <c r="K199" s="59" t="inlineStr"/>
      <c r="L199" s="59" t="inlineStr"/>
      <c r="M199" s="59" t="inlineStr"/>
      <c r="N199" s="57">
        <f>COUNT(F199:M199)</f>
        <v/>
      </c>
      <c r="O199" s="60">
        <f>IF(N199=0,"",COUNTIF(F199:M199,"&gt;=4")/N199)</f>
        <v/>
      </c>
      <c r="P199" s="60">
        <f>IF(N199=0,"",COUNTIF(F199:M199,"&lt;=2")/N199)</f>
        <v/>
      </c>
      <c r="Q199" s="57">
        <f>IF(N199=0,"",MEDIAN(F199:M199))</f>
        <v/>
      </c>
      <c r="R199" s="61">
        <f>IF(N199=0,"Not scored",IF(O199&gt;=0.8,"Include",IF(P199&gt;=0.8,"Exclude","Round 2")))</f>
        <v/>
      </c>
      <c r="S199" s="57" t="inlineStr"/>
      <c r="T199" s="57" t="inlineStr"/>
    </row>
    <row r="200">
      <c r="A200" s="57" t="inlineStr">
        <is>
          <t>Uterine artery embolisation for fibroids (UAE)</t>
        </is>
      </c>
      <c r="B200" s="57" t="inlineStr">
        <is>
          <t>Contrast reaction/AKI</t>
        </is>
      </c>
      <c r="C200" s="57" t="inlineStr">
        <is>
          <t>Conditional / patient-specific</t>
        </is>
      </c>
      <c r="D200" s="57" t="inlineStr">
        <is>
          <t>No universal rate used; risk varies with age, patient selection and definitions</t>
        </is>
      </c>
      <c r="E200" s="57" t="inlineStr">
        <is>
          <t>[25] SIR Quality Improvement Guidelines for Uterine Artery Embolization for Symptomatic Leiomyomata. Listed by SIR in 2025; exact final record/page to verify via SIR library. [26] CIRSE Uterine Artery Embolisation patient information. 2025</t>
        </is>
      </c>
      <c r="F200" s="59" t="inlineStr"/>
      <c r="G200" s="59" t="inlineStr"/>
      <c r="H200" s="59" t="inlineStr"/>
      <c r="I200" s="59" t="inlineStr"/>
      <c r="J200" s="59" t="inlineStr"/>
      <c r="K200" s="59" t="inlineStr"/>
      <c r="L200" s="59" t="inlineStr"/>
      <c r="M200" s="59" t="inlineStr"/>
      <c r="N200" s="57">
        <f>COUNT(F200:M200)</f>
        <v/>
      </c>
      <c r="O200" s="60">
        <f>IF(N200=0,"",COUNTIF(F200:M200,"&gt;=4")/N200)</f>
        <v/>
      </c>
      <c r="P200" s="60">
        <f>IF(N200=0,"",COUNTIF(F200:M200,"&lt;=2")/N200)</f>
        <v/>
      </c>
      <c r="Q200" s="57">
        <f>IF(N200=0,"",MEDIAN(F200:M200))</f>
        <v/>
      </c>
      <c r="R200" s="61">
        <f>IF(N200=0,"Not scored",IF(O200&gt;=0.8,"Include",IF(P200&gt;=0.8,"Exclude","Round 2")))</f>
        <v/>
      </c>
      <c r="S200" s="57" t="inlineStr"/>
      <c r="T200" s="57" t="inlineStr"/>
    </row>
    <row r="201">
      <c r="A201" s="57" t="inlineStr">
        <is>
          <t>Uterine artery embolisation for fibroids (UAE)</t>
        </is>
      </c>
      <c r="B201" s="57" t="inlineStr">
        <is>
          <t>radiation exposure</t>
        </is>
      </c>
      <c r="C201" s="57" t="inlineStr">
        <is>
          <t>Conditional / patient-specific</t>
        </is>
      </c>
      <c r="D201" s="57" t="inlineStr">
        <is>
          <t>No universal rate used; risk varies with age, patient selection and definitions</t>
        </is>
      </c>
      <c r="E201" s="57" t="inlineStr">
        <is>
          <t>[25] SIR Quality Improvement Guidelines for Uterine Artery Embolization for Symptomatic Leiomyomata. Listed by SIR in 2025; exact final record/page to verify via SIR library. [26] CIRSE Uterine Artery Embolisation patient information. 2025</t>
        </is>
      </c>
      <c r="F201" s="59" t="inlineStr"/>
      <c r="G201" s="59" t="inlineStr"/>
      <c r="H201" s="59" t="inlineStr"/>
      <c r="I201" s="59" t="inlineStr"/>
      <c r="J201" s="59" t="inlineStr"/>
      <c r="K201" s="59" t="inlineStr"/>
      <c r="L201" s="59" t="inlineStr"/>
      <c r="M201" s="59" t="inlineStr"/>
      <c r="N201" s="57">
        <f>COUNT(F201:M201)</f>
        <v/>
      </c>
      <c r="O201" s="60">
        <f>IF(N201=0,"",COUNTIF(F201:M201,"&gt;=4")/N201)</f>
        <v/>
      </c>
      <c r="P201" s="60">
        <f>IF(N201=0,"",COUNTIF(F201:M201,"&lt;=2")/N201)</f>
        <v/>
      </c>
      <c r="Q201" s="57">
        <f>IF(N201=0,"",MEDIAN(F201:M201))</f>
        <v/>
      </c>
      <c r="R201" s="61">
        <f>IF(N201=0,"Not scored",IF(O201&gt;=0.8,"Include",IF(P201&gt;=0.8,"Exclude","Round 2")))</f>
        <v/>
      </c>
      <c r="S201" s="57" t="inlineStr"/>
      <c r="T201" s="57" t="inlineStr"/>
    </row>
    <row r="202">
      <c r="A202" s="57" t="inlineStr">
        <is>
          <t>Uterine artery embolisation for fibroids (UAE)</t>
        </is>
      </c>
      <c r="B202" s="57" t="inlineStr">
        <is>
          <t>Age, ovarian reserve, reproductive goals, infection risk and fibroid anatomy</t>
        </is>
      </c>
      <c r="C202" s="57" t="inlineStr">
        <is>
          <t>Conditional / patient-specific</t>
        </is>
      </c>
      <c r="D202" s="57" t="inlineStr">
        <is>
          <t>No universal rate used; risk varies with age, patient selection and definitions</t>
        </is>
      </c>
      <c r="E202" s="57" t="inlineStr">
        <is>
          <t>[25] SIR Quality Improvement Guidelines for Uterine Artery Embolization for Symptomatic Leiomyomata. Listed by SIR in 2025; exact final record/page to verify via SIR library. [26] CIRSE Uterine Artery Embolisation patient information. 2025</t>
        </is>
      </c>
      <c r="F202" s="59" t="inlineStr"/>
      <c r="G202" s="59" t="inlineStr"/>
      <c r="H202" s="59" t="inlineStr"/>
      <c r="I202" s="59" t="inlineStr"/>
      <c r="J202" s="59" t="inlineStr"/>
      <c r="K202" s="59" t="inlineStr"/>
      <c r="L202" s="59" t="inlineStr"/>
      <c r="M202" s="59" t="inlineStr"/>
      <c r="N202" s="57">
        <f>COUNT(F202:M202)</f>
        <v/>
      </c>
      <c r="O202" s="60">
        <f>IF(N202=0,"",COUNTIF(F202:M202,"&gt;=4")/N202)</f>
        <v/>
      </c>
      <c r="P202" s="60">
        <f>IF(N202=0,"",COUNTIF(F202:M202,"&lt;=2")/N202)</f>
        <v/>
      </c>
      <c r="Q202" s="57">
        <f>IF(N202=0,"",MEDIAN(F202:M202))</f>
        <v/>
      </c>
      <c r="R202" s="61">
        <f>IF(N202=0,"Not scored",IF(O202&gt;=0.8,"Include",IF(P202&gt;=0.8,"Exclude","Round 2")))</f>
        <v/>
      </c>
      <c r="S202" s="57" t="inlineStr"/>
      <c r="T202" s="57" t="inlineStr"/>
    </row>
    <row r="203">
      <c r="A203" s="57" t="inlineStr">
        <is>
          <t>Varicocele embolisation</t>
        </is>
      </c>
      <c r="B203" s="57" t="inlineStr">
        <is>
          <t>Local pain/swelling or thrombophlebitic symptoms</t>
        </is>
      </c>
      <c r="C203" s="57" t="inlineStr">
        <is>
          <t>Core candidate</t>
        </is>
      </c>
      <c r="D203" s="57" t="inlineStr">
        <is>
          <t>CIRSE patient information reports overall complications 2–3%, usually minor; rare migration; leaflet estimate only</t>
        </is>
      </c>
      <c r="E203" s="57" t="inlineStr">
        <is>
          <t>[27] Kably et al. CIRSE Standards of Practice on Varicocele Embolisation. 2022; PMID 36380154. [28] CIRSE Embolization for Varicoceles patient information; current webpage, accessed 2 Oct 2026</t>
        </is>
      </c>
      <c r="F203" s="59" t="inlineStr"/>
      <c r="G203" s="59" t="inlineStr"/>
      <c r="H203" s="59" t="inlineStr"/>
      <c r="I203" s="59" t="inlineStr"/>
      <c r="J203" s="59" t="inlineStr"/>
      <c r="K203" s="59" t="inlineStr"/>
      <c r="L203" s="59" t="inlineStr"/>
      <c r="M203" s="59" t="inlineStr"/>
      <c r="N203" s="57">
        <f>COUNT(F203:M203)</f>
        <v/>
      </c>
      <c r="O203" s="60">
        <f>IF(N203=0,"",COUNTIF(F203:M203,"&gt;=4")/N203)</f>
        <v/>
      </c>
      <c r="P203" s="60">
        <f>IF(N203=0,"",COUNTIF(F203:M203,"&lt;=2")/N203)</f>
        <v/>
      </c>
      <c r="Q203" s="57">
        <f>IF(N203=0,"",MEDIAN(F203:M203))</f>
        <v/>
      </c>
      <c r="R203" s="61">
        <f>IF(N203=0,"Not scored",IF(O203&gt;=0.8,"Include",IF(P203&gt;=0.8,"Exclude","Round 2")))</f>
        <v/>
      </c>
      <c r="S203" s="57" t="inlineStr"/>
      <c r="T203" s="57" t="inlineStr"/>
    </row>
    <row r="204">
      <c r="A204" s="57" t="inlineStr">
        <is>
          <t>Varicocele embolisation</t>
        </is>
      </c>
      <c r="B204" s="57" t="inlineStr">
        <is>
          <t>persistent/recurrent varicocele</t>
        </is>
      </c>
      <c r="C204" s="57" t="inlineStr">
        <is>
          <t>Core candidate</t>
        </is>
      </c>
      <c r="D204" s="57" t="inlineStr">
        <is>
          <t>CIRSE patient information reports overall complications 2–3%, usually minor; rare migration; leaflet estimate only</t>
        </is>
      </c>
      <c r="E204" s="57" t="inlineStr">
        <is>
          <t>[27] Kably et al. CIRSE Standards of Practice on Varicocele Embolisation. 2022; PMID 36380154. [28] CIRSE Embolization for Varicoceles patient information; current webpage, accessed 2 Oct 2026</t>
        </is>
      </c>
      <c r="F204" s="59" t="inlineStr"/>
      <c r="G204" s="59" t="inlineStr"/>
      <c r="H204" s="59" t="inlineStr"/>
      <c r="I204" s="59" t="inlineStr"/>
      <c r="J204" s="59" t="inlineStr"/>
      <c r="K204" s="59" t="inlineStr"/>
      <c r="L204" s="59" t="inlineStr"/>
      <c r="M204" s="59" t="inlineStr"/>
      <c r="N204" s="57">
        <f>COUNT(F204:M204)</f>
        <v/>
      </c>
      <c r="O204" s="60">
        <f>IF(N204=0,"",COUNTIF(F204:M204,"&gt;=4")/N204)</f>
        <v/>
      </c>
      <c r="P204" s="60">
        <f>IF(N204=0,"",COUNTIF(F204:M204,"&lt;=2")/N204)</f>
        <v/>
      </c>
      <c r="Q204" s="57">
        <f>IF(N204=0,"",MEDIAN(F204:M204))</f>
        <v/>
      </c>
      <c r="R204" s="61">
        <f>IF(N204=0,"Not scored",IF(O204&gt;=0.8,"Include",IF(P204&gt;=0.8,"Exclude","Round 2")))</f>
        <v/>
      </c>
      <c r="S204" s="57" t="inlineStr"/>
      <c r="T204" s="57" t="inlineStr"/>
    </row>
    <row r="205">
      <c r="A205" s="57" t="inlineStr">
        <is>
          <t>Varicocele embolisation</t>
        </is>
      </c>
      <c r="B205" s="57" t="inlineStr">
        <is>
          <t>Venous injury/perforation</t>
        </is>
      </c>
      <c r="C205" s="57" t="inlineStr">
        <is>
          <t>Core candidate</t>
        </is>
      </c>
      <c r="D205" s="57" t="inlineStr">
        <is>
          <t>CIRSE patient information reports overall complications 2–3%, usually minor; rare migration; leaflet estimate only</t>
        </is>
      </c>
      <c r="E205" s="57" t="inlineStr">
        <is>
          <t>[27] Kably et al. CIRSE Standards of Practice on Varicocele Embolisation. 2022; PMID 36380154. [28] CIRSE Embolization for Varicoceles patient information; current webpage, accessed 2 Oct 2026</t>
        </is>
      </c>
      <c r="F205" s="59" t="inlineStr"/>
      <c r="G205" s="59" t="inlineStr"/>
      <c r="H205" s="59" t="inlineStr"/>
      <c r="I205" s="59" t="inlineStr"/>
      <c r="J205" s="59" t="inlineStr"/>
      <c r="K205" s="59" t="inlineStr"/>
      <c r="L205" s="59" t="inlineStr"/>
      <c r="M205" s="59" t="inlineStr"/>
      <c r="N205" s="57">
        <f>COUNT(F205:M205)</f>
        <v/>
      </c>
      <c r="O205" s="60">
        <f>IF(N205=0,"",COUNTIF(F205:M205,"&gt;=4")/N205)</f>
        <v/>
      </c>
      <c r="P205" s="60">
        <f>IF(N205=0,"",COUNTIF(F205:M205,"&lt;=2")/N205)</f>
        <v/>
      </c>
      <c r="Q205" s="57">
        <f>IF(N205=0,"",MEDIAN(F205:M205))</f>
        <v/>
      </c>
      <c r="R205" s="61">
        <f>IF(N205=0,"Not scored",IF(O205&gt;=0.8,"Include",IF(P205&gt;=0.8,"Exclude","Round 2")))</f>
        <v/>
      </c>
      <c r="S205" s="57" t="inlineStr"/>
      <c r="T205" s="57" t="inlineStr"/>
    </row>
    <row r="206">
      <c r="A206" s="57" t="inlineStr">
        <is>
          <t>Varicocele embolisation</t>
        </is>
      </c>
      <c r="B206" s="57" t="inlineStr">
        <is>
          <t>technical failure and repeat procedure</t>
        </is>
      </c>
      <c r="C206" s="57" t="inlineStr">
        <is>
          <t>Core candidate</t>
        </is>
      </c>
      <c r="D206" s="57" t="inlineStr">
        <is>
          <t>CIRSE patient information reports overall complications 2–3%, usually minor; rare migration; leaflet estimate only</t>
        </is>
      </c>
      <c r="E206" s="57" t="inlineStr">
        <is>
          <t>[27] Kably et al. CIRSE Standards of Practice on Varicocele Embolisation. 2022; PMID 36380154. [28] CIRSE Embolization for Varicoceles patient information; current webpage, accessed 2 Oct 2026</t>
        </is>
      </c>
      <c r="F206" s="59" t="inlineStr"/>
      <c r="G206" s="59" t="inlineStr"/>
      <c r="H206" s="59" t="inlineStr"/>
      <c r="I206" s="59" t="inlineStr"/>
      <c r="J206" s="59" t="inlineStr"/>
      <c r="K206" s="59" t="inlineStr"/>
      <c r="L206" s="59" t="inlineStr"/>
      <c r="M206" s="59" t="inlineStr"/>
      <c r="N206" s="57">
        <f>COUNT(F206:M206)</f>
        <v/>
      </c>
      <c r="O206" s="60">
        <f>IF(N206=0,"",COUNTIF(F206:M206,"&gt;=4")/N206)</f>
        <v/>
      </c>
      <c r="P206" s="60">
        <f>IF(N206=0,"",COUNTIF(F206:M206,"&lt;=2")/N206)</f>
        <v/>
      </c>
      <c r="Q206" s="57">
        <f>IF(N206=0,"",MEDIAN(F206:M206))</f>
        <v/>
      </c>
      <c r="R206" s="61">
        <f>IF(N206=0,"Not scored",IF(O206&gt;=0.8,"Include",IF(P206&gt;=0.8,"Exclude","Round 2")))</f>
        <v/>
      </c>
      <c r="S206" s="57" t="inlineStr"/>
      <c r="T206" s="57" t="inlineStr"/>
    </row>
    <row r="207">
      <c r="A207" s="57" t="inlineStr">
        <is>
          <t>Varicocele embolisation</t>
        </is>
      </c>
      <c r="B207" s="57" t="inlineStr">
        <is>
          <t>Coil/plug/liquid-agent migration, potentially pulmonary</t>
        </is>
      </c>
      <c r="C207" s="57" t="inlineStr">
        <is>
          <t>Core candidate</t>
        </is>
      </c>
      <c r="D207" s="57" t="inlineStr">
        <is>
          <t>CIRSE patient information reports overall complications 2–3%, usually minor; rare migration; leaflet estimate only</t>
        </is>
      </c>
      <c r="E207" s="57" t="inlineStr">
        <is>
          <t>[27] Kably et al. CIRSE Standards of Practice on Varicocele Embolisation. 2022; PMID 36380154. [28] CIRSE Embolization for Varicoceles patient information; current webpage, accessed 2 Oct 2026</t>
        </is>
      </c>
      <c r="F207" s="59" t="inlineStr"/>
      <c r="G207" s="59" t="inlineStr"/>
      <c r="H207" s="59" t="inlineStr"/>
      <c r="I207" s="59" t="inlineStr"/>
      <c r="J207" s="59" t="inlineStr"/>
      <c r="K207" s="59" t="inlineStr"/>
      <c r="L207" s="59" t="inlineStr"/>
      <c r="M207" s="59" t="inlineStr"/>
      <c r="N207" s="57">
        <f>COUNT(F207:M207)</f>
        <v/>
      </c>
      <c r="O207" s="60">
        <f>IF(N207=0,"",COUNTIF(F207:M207,"&gt;=4")/N207)</f>
        <v/>
      </c>
      <c r="P207" s="60">
        <f>IF(N207=0,"",COUNTIF(F207:M207,"&lt;=2")/N207)</f>
        <v/>
      </c>
      <c r="Q207" s="57">
        <f>IF(N207=0,"",MEDIAN(F207:M207))</f>
        <v/>
      </c>
      <c r="R207" s="61">
        <f>IF(N207=0,"Not scored",IF(O207&gt;=0.8,"Include",IF(P207&gt;=0.8,"Exclude","Round 2")))</f>
        <v/>
      </c>
      <c r="S207" s="57" t="inlineStr"/>
      <c r="T207" s="57" t="inlineStr"/>
    </row>
    <row r="208">
      <c r="A208" s="57" t="inlineStr">
        <is>
          <t>Varicocele embolisation</t>
        </is>
      </c>
      <c r="B208" s="57" t="inlineStr">
        <is>
          <t>serious non-target embolisation</t>
        </is>
      </c>
      <c r="C208" s="57" t="inlineStr">
        <is>
          <t>Core candidate</t>
        </is>
      </c>
      <c r="D208" s="57" t="inlineStr">
        <is>
          <t>CIRSE patient information reports overall complications 2–3%, usually minor; rare migration; leaflet estimate only</t>
        </is>
      </c>
      <c r="E208" s="57" t="inlineStr">
        <is>
          <t>[27] Kably et al. CIRSE Standards of Practice on Varicocele Embolisation. 2022; PMID 36380154. [28] CIRSE Embolization for Varicoceles patient information; current webpage, accessed 2 Oct 2026</t>
        </is>
      </c>
      <c r="F208" s="59" t="inlineStr"/>
      <c r="G208" s="59" t="inlineStr"/>
      <c r="H208" s="59" t="inlineStr"/>
      <c r="I208" s="59" t="inlineStr"/>
      <c r="J208" s="59" t="inlineStr"/>
      <c r="K208" s="59" t="inlineStr"/>
      <c r="L208" s="59" t="inlineStr"/>
      <c r="M208" s="59" t="inlineStr"/>
      <c r="N208" s="57">
        <f>COUNT(F208:M208)</f>
        <v/>
      </c>
      <c r="O208" s="60">
        <f>IF(N208=0,"",COUNTIF(F208:M208,"&gt;=4")/N208)</f>
        <v/>
      </c>
      <c r="P208" s="60">
        <f>IF(N208=0,"",COUNTIF(F208:M208,"&lt;=2")/N208)</f>
        <v/>
      </c>
      <c r="Q208" s="57">
        <f>IF(N208=0,"",MEDIAN(F208:M208))</f>
        <v/>
      </c>
      <c r="R208" s="61">
        <f>IF(N208=0,"Not scored",IF(O208&gt;=0.8,"Include",IF(P208&gt;=0.8,"Exclude","Round 2")))</f>
        <v/>
      </c>
      <c r="S208" s="57" t="inlineStr"/>
      <c r="T208" s="57" t="inlineStr"/>
    </row>
    <row r="209">
      <c r="A209" s="57" t="inlineStr">
        <is>
          <t>Varicocele embolisation</t>
        </is>
      </c>
      <c r="B209" s="57" t="inlineStr">
        <is>
          <t>Venous access bleeding/haematoma</t>
        </is>
      </c>
      <c r="C209" s="57" t="inlineStr">
        <is>
          <t>Core candidate</t>
        </is>
      </c>
      <c r="D209" s="57" t="inlineStr">
        <is>
          <t>CIRSE patient information reports overall complications 2–3%, usually minor; rare migration; leaflet estimate only</t>
        </is>
      </c>
      <c r="E209" s="57" t="inlineStr">
        <is>
          <t>[27] Kably et al. CIRSE Standards of Practice on Varicocele Embolisation. 2022; PMID 36380154. [28] CIRSE Embolization for Varicoceles patient information; current webpage, accessed 2 Oct 2026</t>
        </is>
      </c>
      <c r="F209" s="59" t="inlineStr"/>
      <c r="G209" s="59" t="inlineStr"/>
      <c r="H209" s="59" t="inlineStr"/>
      <c r="I209" s="59" t="inlineStr"/>
      <c r="J209" s="59" t="inlineStr"/>
      <c r="K209" s="59" t="inlineStr"/>
      <c r="L209" s="59" t="inlineStr"/>
      <c r="M209" s="59" t="inlineStr"/>
      <c r="N209" s="57">
        <f>COUNT(F209:M209)</f>
        <v/>
      </c>
      <c r="O209" s="60">
        <f>IF(N209=0,"",COUNTIF(F209:M209,"&gt;=4")/N209)</f>
        <v/>
      </c>
      <c r="P209" s="60">
        <f>IF(N209=0,"",COUNTIF(F209:M209,"&lt;=2")/N209)</f>
        <v/>
      </c>
      <c r="Q209" s="57">
        <f>IF(N209=0,"",MEDIAN(F209:M209))</f>
        <v/>
      </c>
      <c r="R209" s="61">
        <f>IF(N209=0,"Not scored",IF(O209&gt;=0.8,"Include",IF(P209&gt;=0.8,"Exclude","Round 2")))</f>
        <v/>
      </c>
      <c r="S209" s="57" t="inlineStr"/>
      <c r="T209" s="57" t="inlineStr"/>
    </row>
    <row r="210">
      <c r="A210" s="57" t="inlineStr">
        <is>
          <t>Varicocele embolisation</t>
        </is>
      </c>
      <c r="B210" s="57" t="inlineStr">
        <is>
          <t>Contrast reaction/AKI and radiation exposure</t>
        </is>
      </c>
      <c r="C210" s="57" t="inlineStr">
        <is>
          <t>Conditional / patient-specific</t>
        </is>
      </c>
      <c r="D210" s="57" t="inlineStr">
        <is>
          <t>CIRSE patient information reports overall complications 2–3%, usually minor; rare migration; leaflet estimate only</t>
        </is>
      </c>
      <c r="E210" s="57" t="inlineStr">
        <is>
          <t>[27] Kably et al. CIRSE Standards of Practice on Varicocele Embolisation. 2022; PMID 36380154. [28] CIRSE Embolization for Varicoceles patient information; current webpage, accessed 2 Oct 2026</t>
        </is>
      </c>
      <c r="F210" s="59" t="inlineStr"/>
      <c r="G210" s="59" t="inlineStr"/>
      <c r="H210" s="59" t="inlineStr"/>
      <c r="I210" s="59" t="inlineStr"/>
      <c r="J210" s="59" t="inlineStr"/>
      <c r="K210" s="59" t="inlineStr"/>
      <c r="L210" s="59" t="inlineStr"/>
      <c r="M210" s="59" t="inlineStr"/>
      <c r="N210" s="57">
        <f>COUNT(F210:M210)</f>
        <v/>
      </c>
      <c r="O210" s="60">
        <f>IF(N210=0,"",COUNTIF(F210:M210,"&gt;=4")/N210)</f>
        <v/>
      </c>
      <c r="P210" s="60">
        <f>IF(N210=0,"",COUNTIF(F210:M210,"&lt;=2")/N210)</f>
        <v/>
      </c>
      <c r="Q210" s="57">
        <f>IF(N210=0,"",MEDIAN(F210:M210))</f>
        <v/>
      </c>
      <c r="R210" s="61">
        <f>IF(N210=0,"Not scored",IF(O210&gt;=0.8,"Include",IF(P210&gt;=0.8,"Exclude","Round 2")))</f>
        <v/>
      </c>
      <c r="S210" s="57" t="inlineStr"/>
      <c r="T210" s="57" t="inlineStr"/>
    </row>
    <row r="211">
      <c r="A211" s="57" t="inlineStr">
        <is>
          <t>Varicocele embolisation</t>
        </is>
      </c>
      <c r="B211" s="57" t="inlineStr">
        <is>
          <t>Embolic material, venous anatomy, route and fertility-related goals</t>
        </is>
      </c>
      <c r="C211" s="57" t="inlineStr">
        <is>
          <t>Conditional / patient-specific</t>
        </is>
      </c>
      <c r="D211" s="57" t="inlineStr">
        <is>
          <t>CIRSE patient information reports overall complications 2–3%, usually minor; rare migration; leaflet estimate only</t>
        </is>
      </c>
      <c r="E211" s="57" t="inlineStr">
        <is>
          <t>[27] Kably et al. CIRSE Standards of Practice on Varicocele Embolisation. 2022; PMID 36380154. [28] CIRSE Embolization for Varicoceles patient information; current webpage, accessed 2 Oct 2026</t>
        </is>
      </c>
      <c r="F211" s="59" t="inlineStr"/>
      <c r="G211" s="59" t="inlineStr"/>
      <c r="H211" s="59" t="inlineStr"/>
      <c r="I211" s="59" t="inlineStr"/>
      <c r="J211" s="59" t="inlineStr"/>
      <c r="K211" s="59" t="inlineStr"/>
      <c r="L211" s="59" t="inlineStr"/>
      <c r="M211" s="59" t="inlineStr"/>
      <c r="N211" s="57">
        <f>COUNT(F211:M211)</f>
        <v/>
      </c>
      <c r="O211" s="60">
        <f>IF(N211=0,"",COUNTIF(F211:M211,"&gt;=4")/N211)</f>
        <v/>
      </c>
      <c r="P211" s="60">
        <f>IF(N211=0,"",COUNTIF(F211:M211,"&lt;=2")/N211)</f>
        <v/>
      </c>
      <c r="Q211" s="57">
        <f>IF(N211=0,"",MEDIAN(F211:M211))</f>
        <v/>
      </c>
      <c r="R211" s="61">
        <f>IF(N211=0,"Not scored",IF(O211&gt;=0.8,"Include",IF(P211&gt;=0.8,"Exclude","Round 2")))</f>
        <v/>
      </c>
      <c r="S211" s="57" t="inlineStr"/>
      <c r="T211" s="57" t="inlineStr"/>
    </row>
    <row r="212">
      <c r="A212" s="57" t="inlineStr">
        <is>
          <t>Venous stenting</t>
        </is>
      </c>
      <c r="B212" s="57" t="inlineStr">
        <is>
          <t>Access bruising/bleeding</t>
        </is>
      </c>
      <c r="C212" s="57" t="inlineStr">
        <is>
          <t>Core candidate</t>
        </is>
      </c>
      <c r="D212" s="57" t="inlineStr">
        <is>
          <t>No universal rate; 2024 serious-event series is not a generic incidence estimate</t>
        </is>
      </c>
      <c r="E212" s="57" t="inlineStr">
        <is>
          <t>[29] Mahnken et al. CIRSE Standards of Practice Guidelines on Iliocaval Stenting. 2014; DOI 10.1007/s00270-014-0875-4; PMID 24633533. [30] Major Complications of Deep Venous Stenting. 2024; PMID 39214918</t>
        </is>
      </c>
      <c r="F212" s="59" t="inlineStr"/>
      <c r="G212" s="59" t="inlineStr"/>
      <c r="H212" s="59" t="inlineStr"/>
      <c r="I212" s="59" t="inlineStr"/>
      <c r="J212" s="59" t="inlineStr"/>
      <c r="K212" s="59" t="inlineStr"/>
      <c r="L212" s="59" t="inlineStr"/>
      <c r="M212" s="59" t="inlineStr"/>
      <c r="N212" s="57">
        <f>COUNT(F212:M212)</f>
        <v/>
      </c>
      <c r="O212" s="60">
        <f>IF(N212=0,"",COUNTIF(F212:M212,"&gt;=4")/N212)</f>
        <v/>
      </c>
      <c r="P212" s="60">
        <f>IF(N212=0,"",COUNTIF(F212:M212,"&lt;=2")/N212)</f>
        <v/>
      </c>
      <c r="Q212" s="57">
        <f>IF(N212=0,"",MEDIAN(F212:M212))</f>
        <v/>
      </c>
      <c r="R212" s="61">
        <f>IF(N212=0,"Not scored",IF(O212&gt;=0.8,"Include",IF(P212&gt;=0.8,"Exclude","Round 2")))</f>
        <v/>
      </c>
      <c r="S212" s="57" t="inlineStr"/>
      <c r="T212" s="57" t="inlineStr"/>
    </row>
    <row r="213">
      <c r="A213" s="57" t="inlineStr">
        <is>
          <t>Venous stenting</t>
        </is>
      </c>
      <c r="B213" s="57" t="inlineStr">
        <is>
          <t>persistent/recurrent symptoms</t>
        </is>
      </c>
      <c r="C213" s="57" t="inlineStr">
        <is>
          <t>Core candidate</t>
        </is>
      </c>
      <c r="D213" s="57" t="inlineStr">
        <is>
          <t>No universal rate; 2024 serious-event series is not a generic incidence estimate</t>
        </is>
      </c>
      <c r="E213" s="57" t="inlineStr">
        <is>
          <t>[29] Mahnken et al. CIRSE Standards of Practice Guidelines on Iliocaval Stenting. 2014; DOI 10.1007/s00270-014-0875-4; PMID 24633533. [30] Major Complications of Deep Venous Stenting. 2024; PMID 39214918</t>
        </is>
      </c>
      <c r="F213" s="59" t="inlineStr"/>
      <c r="G213" s="59" t="inlineStr"/>
      <c r="H213" s="59" t="inlineStr"/>
      <c r="I213" s="59" t="inlineStr"/>
      <c r="J213" s="59" t="inlineStr"/>
      <c r="K213" s="59" t="inlineStr"/>
      <c r="L213" s="59" t="inlineStr"/>
      <c r="M213" s="59" t="inlineStr"/>
      <c r="N213" s="57">
        <f>COUNT(F213:M213)</f>
        <v/>
      </c>
      <c r="O213" s="60">
        <f>IF(N213=0,"",COUNTIF(F213:M213,"&gt;=4")/N213)</f>
        <v/>
      </c>
      <c r="P213" s="60">
        <f>IF(N213=0,"",COUNTIF(F213:M213,"&lt;=2")/N213)</f>
        <v/>
      </c>
      <c r="Q213" s="57">
        <f>IF(N213=0,"",MEDIAN(F213:M213))</f>
        <v/>
      </c>
      <c r="R213" s="61">
        <f>IF(N213=0,"Not scored",IF(O213&gt;=0.8,"Include",IF(P213&gt;=0.8,"Exclude","Round 2")))</f>
        <v/>
      </c>
      <c r="S213" s="57" t="inlineStr"/>
      <c r="T213" s="57" t="inlineStr"/>
    </row>
    <row r="214">
      <c r="A214" s="57" t="inlineStr">
        <is>
          <t>Venous stenting</t>
        </is>
      </c>
      <c r="B214" s="57" t="inlineStr">
        <is>
          <t>Venous perforation/rupture</t>
        </is>
      </c>
      <c r="C214" s="57" t="inlineStr">
        <is>
          <t>Core candidate</t>
        </is>
      </c>
      <c r="D214" s="57" t="inlineStr">
        <is>
          <t>No universal rate; 2024 serious-event series is not a generic incidence estimate</t>
        </is>
      </c>
      <c r="E214" s="57" t="inlineStr">
        <is>
          <t>[29] Mahnken et al. CIRSE Standards of Practice Guidelines on Iliocaval Stenting. 2014; DOI 10.1007/s00270-014-0875-4; PMID 24633533. [30] Major Complications of Deep Venous Stenting. 2024; PMID 39214918</t>
        </is>
      </c>
      <c r="F214" s="59" t="inlineStr"/>
      <c r="G214" s="59" t="inlineStr"/>
      <c r="H214" s="59" t="inlineStr"/>
      <c r="I214" s="59" t="inlineStr"/>
      <c r="J214" s="59" t="inlineStr"/>
      <c r="K214" s="59" t="inlineStr"/>
      <c r="L214" s="59" t="inlineStr"/>
      <c r="M214" s="59" t="inlineStr"/>
      <c r="N214" s="57">
        <f>COUNT(F214:M214)</f>
        <v/>
      </c>
      <c r="O214" s="60">
        <f>IF(N214=0,"",COUNTIF(F214:M214,"&gt;=4")/N214)</f>
        <v/>
      </c>
      <c r="P214" s="60">
        <f>IF(N214=0,"",COUNTIF(F214:M214,"&lt;=2")/N214)</f>
        <v/>
      </c>
      <c r="Q214" s="57">
        <f>IF(N214=0,"",MEDIAN(F214:M214))</f>
        <v/>
      </c>
      <c r="R214" s="61">
        <f>IF(N214=0,"Not scored",IF(O214&gt;=0.8,"Include",IF(P214&gt;=0.8,"Exclude","Round 2")))</f>
        <v/>
      </c>
      <c r="S214" s="57" t="inlineStr"/>
      <c r="T214" s="57" t="inlineStr"/>
    </row>
    <row r="215">
      <c r="A215" s="57" t="inlineStr">
        <is>
          <t>Venous stenting</t>
        </is>
      </c>
      <c r="B215" s="57" t="inlineStr">
        <is>
          <t>acute or in-stent thrombosis/occlusion</t>
        </is>
      </c>
      <c r="C215" s="57" t="inlineStr">
        <is>
          <t>Core candidate</t>
        </is>
      </c>
      <c r="D215" s="57" t="inlineStr">
        <is>
          <t>No universal rate; 2024 serious-event series is not a generic incidence estimate</t>
        </is>
      </c>
      <c r="E215" s="57" t="inlineStr">
        <is>
          <t>[29] Mahnken et al. CIRSE Standards of Practice Guidelines on Iliocaval Stenting. 2014; DOI 10.1007/s00270-014-0875-4; PMID 24633533. [30] Major Complications of Deep Venous Stenting. 2024; PMID 39214918</t>
        </is>
      </c>
      <c r="F215" s="59" t="inlineStr"/>
      <c r="G215" s="59" t="inlineStr"/>
      <c r="H215" s="59" t="inlineStr"/>
      <c r="I215" s="59" t="inlineStr"/>
      <c r="J215" s="59" t="inlineStr"/>
      <c r="K215" s="59" t="inlineStr"/>
      <c r="L215" s="59" t="inlineStr"/>
      <c r="M215" s="59" t="inlineStr"/>
      <c r="N215" s="57">
        <f>COUNT(F215:M215)</f>
        <v/>
      </c>
      <c r="O215" s="60">
        <f>IF(N215=0,"",COUNTIF(F215:M215,"&gt;=4")/N215)</f>
        <v/>
      </c>
      <c r="P215" s="60">
        <f>IF(N215=0,"",COUNTIF(F215:M215,"&lt;=2")/N215)</f>
        <v/>
      </c>
      <c r="Q215" s="57">
        <f>IF(N215=0,"",MEDIAN(F215:M215))</f>
        <v/>
      </c>
      <c r="R215" s="61">
        <f>IF(N215=0,"Not scored",IF(O215&gt;=0.8,"Include",IF(P215&gt;=0.8,"Exclude","Round 2")))</f>
        <v/>
      </c>
      <c r="S215" s="57" t="inlineStr"/>
      <c r="T215" s="57" t="inlineStr"/>
    </row>
    <row r="216">
      <c r="A216" s="57" t="inlineStr">
        <is>
          <t>Venous stenting</t>
        </is>
      </c>
      <c r="B216" s="57" t="inlineStr">
        <is>
          <t>stent compression/fracture where relevant</t>
        </is>
      </c>
      <c r="C216" s="57" t="inlineStr">
        <is>
          <t>Core candidate</t>
        </is>
      </c>
      <c r="D216" s="57" t="inlineStr">
        <is>
          <t>No universal rate; 2024 serious-event series is not a generic incidence estimate</t>
        </is>
      </c>
      <c r="E216" s="57" t="inlineStr">
        <is>
          <t>[29] Mahnken et al. CIRSE Standards of Practice Guidelines on Iliocaval Stenting. 2014; DOI 10.1007/s00270-014-0875-4; PMID 24633533. [30] Major Complications of Deep Venous Stenting. 2024; PMID 39214918</t>
        </is>
      </c>
      <c r="F216" s="59" t="inlineStr"/>
      <c r="G216" s="59" t="inlineStr"/>
      <c r="H216" s="59" t="inlineStr"/>
      <c r="I216" s="59" t="inlineStr"/>
      <c r="J216" s="59" t="inlineStr"/>
      <c r="K216" s="59" t="inlineStr"/>
      <c r="L216" s="59" t="inlineStr"/>
      <c r="M216" s="59" t="inlineStr"/>
      <c r="N216" s="57">
        <f>COUNT(F216:M216)</f>
        <v/>
      </c>
      <c r="O216" s="60">
        <f>IF(N216=0,"",COUNTIF(F216:M216,"&gt;=4")/N216)</f>
        <v/>
      </c>
      <c r="P216" s="60">
        <f>IF(N216=0,"",COUNTIF(F216:M216,"&lt;=2")/N216)</f>
        <v/>
      </c>
      <c r="Q216" s="57">
        <f>IF(N216=0,"",MEDIAN(F216:M216))</f>
        <v/>
      </c>
      <c r="R216" s="61">
        <f>IF(N216=0,"Not scored",IF(O216&gt;=0.8,"Include",IF(P216&gt;=0.8,"Exclude","Round 2")))</f>
        <v/>
      </c>
      <c r="S216" s="57" t="inlineStr"/>
      <c r="T216" s="57" t="inlineStr"/>
    </row>
    <row r="217">
      <c r="A217" s="57" t="inlineStr">
        <is>
          <t>Venous stenting</t>
        </is>
      </c>
      <c r="B217" s="57" t="inlineStr">
        <is>
          <t>Stent migration</t>
        </is>
      </c>
      <c r="C217" s="57" t="inlineStr">
        <is>
          <t>Core candidate</t>
        </is>
      </c>
      <c r="D217" s="57" t="inlineStr">
        <is>
          <t>No universal rate; 2024 serious-event series is not a generic incidence estimate</t>
        </is>
      </c>
      <c r="E217" s="57" t="inlineStr">
        <is>
          <t>[29] Mahnken et al. CIRSE Standards of Practice Guidelines on Iliocaval Stenting. 2014; DOI 10.1007/s00270-014-0875-4; PMID 24633533. [30] Major Complications of Deep Venous Stenting. 2024; PMID 39214918</t>
        </is>
      </c>
      <c r="F217" s="59" t="inlineStr"/>
      <c r="G217" s="59" t="inlineStr"/>
      <c r="H217" s="59" t="inlineStr"/>
      <c r="I217" s="59" t="inlineStr"/>
      <c r="J217" s="59" t="inlineStr"/>
      <c r="K217" s="59" t="inlineStr"/>
      <c r="L217" s="59" t="inlineStr"/>
      <c r="M217" s="59" t="inlineStr"/>
      <c r="N217" s="57">
        <f>COUNT(F217:M217)</f>
        <v/>
      </c>
      <c r="O217" s="60">
        <f>IF(N217=0,"",COUNTIF(F217:M217,"&gt;=4")/N217)</f>
        <v/>
      </c>
      <c r="P217" s="60">
        <f>IF(N217=0,"",COUNTIF(F217:M217,"&lt;=2")/N217)</f>
        <v/>
      </c>
      <c r="Q217" s="57">
        <f>IF(N217=0,"",MEDIAN(F217:M217))</f>
        <v/>
      </c>
      <c r="R217" s="61">
        <f>IF(N217=0,"Not scored",IF(O217&gt;=0.8,"Include",IF(P217&gt;=0.8,"Exclude","Round 2")))</f>
        <v/>
      </c>
      <c r="S217" s="57" t="inlineStr"/>
      <c r="T217" s="57" t="inlineStr"/>
    </row>
    <row r="218">
      <c r="A218" s="57" t="inlineStr">
        <is>
          <t>Venous stenting</t>
        </is>
      </c>
      <c r="B218" s="57" t="inlineStr">
        <is>
          <t>serious thromboembolic event</t>
        </is>
      </c>
      <c r="C218" s="57" t="inlineStr">
        <is>
          <t>Core candidate</t>
        </is>
      </c>
      <c r="D218" s="57" t="inlineStr">
        <is>
          <t>No universal rate; 2024 serious-event series is not a generic incidence estimate</t>
        </is>
      </c>
      <c r="E218" s="57" t="inlineStr">
        <is>
          <t>[29] Mahnken et al. CIRSE Standards of Practice Guidelines on Iliocaval Stenting. 2014; DOI 10.1007/s00270-014-0875-4; PMID 24633533. [30] Major Complications of Deep Venous Stenting. 2024; PMID 39214918</t>
        </is>
      </c>
      <c r="F218" s="59" t="inlineStr"/>
      <c r="G218" s="59" t="inlineStr"/>
      <c r="H218" s="59" t="inlineStr"/>
      <c r="I218" s="59" t="inlineStr"/>
      <c r="J218" s="59" t="inlineStr"/>
      <c r="K218" s="59" t="inlineStr"/>
      <c r="L218" s="59" t="inlineStr"/>
      <c r="M218" s="59" t="inlineStr"/>
      <c r="N218" s="57">
        <f>COUNT(F218:M218)</f>
        <v/>
      </c>
      <c r="O218" s="60">
        <f>IF(N218=0,"",COUNTIF(F218:M218,"&gt;=4")/N218)</f>
        <v/>
      </c>
      <c r="P218" s="60">
        <f>IF(N218=0,"",COUNTIF(F218:M218,"&lt;=2")/N218)</f>
        <v/>
      </c>
      <c r="Q218" s="57">
        <f>IF(N218=0,"",MEDIAN(F218:M218))</f>
        <v/>
      </c>
      <c r="R218" s="61">
        <f>IF(N218=0,"Not scored",IF(O218&gt;=0.8,"Include",IF(P218&gt;=0.8,"Exclude","Round 2")))</f>
        <v/>
      </c>
      <c r="S218" s="57" t="inlineStr"/>
      <c r="T218" s="57" t="inlineStr"/>
    </row>
    <row r="219">
      <c r="A219" s="57" t="inlineStr">
        <is>
          <t>Venous stenting</t>
        </is>
      </c>
      <c r="B219" s="57" t="inlineStr">
        <is>
          <t>reintervention</t>
        </is>
      </c>
      <c r="C219" s="57" t="inlineStr">
        <is>
          <t>Core candidate</t>
        </is>
      </c>
      <c r="D219" s="57" t="inlineStr">
        <is>
          <t>No universal rate; 2024 serious-event series is not a generic incidence estimate</t>
        </is>
      </c>
      <c r="E219" s="57" t="inlineStr">
        <is>
          <t>[29] Mahnken et al. CIRSE Standards of Practice Guidelines on Iliocaval Stenting. 2014; DOI 10.1007/s00270-014-0875-4; PMID 24633533. [30] Major Complications of Deep Venous Stenting. 2024; PMID 39214918</t>
        </is>
      </c>
      <c r="F219" s="59" t="inlineStr"/>
      <c r="G219" s="59" t="inlineStr"/>
      <c r="H219" s="59" t="inlineStr"/>
      <c r="I219" s="59" t="inlineStr"/>
      <c r="J219" s="59" t="inlineStr"/>
      <c r="K219" s="59" t="inlineStr"/>
      <c r="L219" s="59" t="inlineStr"/>
      <c r="M219" s="59" t="inlineStr"/>
      <c r="N219" s="57">
        <f>COUNT(F219:M219)</f>
        <v/>
      </c>
      <c r="O219" s="60">
        <f>IF(N219=0,"",COUNTIF(F219:M219,"&gt;=4")/N219)</f>
        <v/>
      </c>
      <c r="P219" s="60">
        <f>IF(N219=0,"",COUNTIF(F219:M219,"&lt;=2")/N219)</f>
        <v/>
      </c>
      <c r="Q219" s="57">
        <f>IF(N219=0,"",MEDIAN(F219:M219))</f>
        <v/>
      </c>
      <c r="R219" s="61">
        <f>IF(N219=0,"Not scored",IF(O219&gt;=0.8,"Include",IF(P219&gt;=0.8,"Exclude","Round 2")))</f>
        <v/>
      </c>
      <c r="S219" s="57" t="inlineStr"/>
      <c r="T219" s="57" t="inlineStr"/>
    </row>
    <row r="220">
      <c r="A220" s="57" t="inlineStr">
        <is>
          <t>Venous stenting</t>
        </is>
      </c>
      <c r="B220" s="57" t="inlineStr">
        <is>
          <t>Venous access bleeding/haematoma</t>
        </is>
      </c>
      <c r="C220" s="57" t="inlineStr">
        <is>
          <t>Core candidate</t>
        </is>
      </c>
      <c r="D220" s="57" t="inlineStr">
        <is>
          <t>No universal rate; 2024 serious-event series is not a generic incidence estimate</t>
        </is>
      </c>
      <c r="E220" s="57" t="inlineStr">
        <is>
          <t>[29] Mahnken et al. CIRSE Standards of Practice Guidelines on Iliocaval Stenting. 2014; DOI 10.1007/s00270-014-0875-4; PMID 24633533. [30] Major Complications of Deep Venous Stenting. 2024; PMID 39214918</t>
        </is>
      </c>
      <c r="F220" s="59" t="inlineStr"/>
      <c r="G220" s="59" t="inlineStr"/>
      <c r="H220" s="59" t="inlineStr"/>
      <c r="I220" s="59" t="inlineStr"/>
      <c r="J220" s="59" t="inlineStr"/>
      <c r="K220" s="59" t="inlineStr"/>
      <c r="L220" s="59" t="inlineStr"/>
      <c r="M220" s="59" t="inlineStr"/>
      <c r="N220" s="57">
        <f>COUNT(F220:M220)</f>
        <v/>
      </c>
      <c r="O220" s="60">
        <f>IF(N220=0,"",COUNTIF(F220:M220,"&gt;=4")/N220)</f>
        <v/>
      </c>
      <c r="P220" s="60">
        <f>IF(N220=0,"",COUNTIF(F220:M220,"&lt;=2")/N220)</f>
        <v/>
      </c>
      <c r="Q220" s="57">
        <f>IF(N220=0,"",MEDIAN(F220:M220))</f>
        <v/>
      </c>
      <c r="R220" s="61">
        <f>IF(N220=0,"Not scored",IF(O220&gt;=0.8,"Include",IF(P220&gt;=0.8,"Exclude","Round 2")))</f>
        <v/>
      </c>
      <c r="S220" s="57" t="inlineStr"/>
      <c r="T220" s="57" t="inlineStr"/>
    </row>
    <row r="221">
      <c r="A221" s="57" t="inlineStr">
        <is>
          <t>Venous stenting</t>
        </is>
      </c>
      <c r="B221" s="57" t="inlineStr">
        <is>
          <t>Contrast reaction/AKI and radiation</t>
        </is>
      </c>
      <c r="C221" s="57" t="inlineStr">
        <is>
          <t>Conditional / patient-specific</t>
        </is>
      </c>
      <c r="D221" s="57" t="inlineStr">
        <is>
          <t>No universal rate; 2024 serious-event series is not a generic incidence estimate</t>
        </is>
      </c>
      <c r="E221" s="57" t="inlineStr">
        <is>
          <t>[29] Mahnken et al. CIRSE Standards of Practice Guidelines on Iliocaval Stenting. 2014; DOI 10.1007/s00270-014-0875-4; PMID 24633533. [30] Major Complications of Deep Venous Stenting. 2024; PMID 39214918</t>
        </is>
      </c>
      <c r="F221" s="59" t="inlineStr"/>
      <c r="G221" s="59" t="inlineStr"/>
      <c r="H221" s="59" t="inlineStr"/>
      <c r="I221" s="59" t="inlineStr"/>
      <c r="J221" s="59" t="inlineStr"/>
      <c r="K221" s="59" t="inlineStr"/>
      <c r="L221" s="59" t="inlineStr"/>
      <c r="M221" s="59" t="inlineStr"/>
      <c r="N221" s="57">
        <f>COUNT(F221:M221)</f>
        <v/>
      </c>
      <c r="O221" s="60">
        <f>IF(N221=0,"",COUNTIF(F221:M221,"&gt;=4")/N221)</f>
        <v/>
      </c>
      <c r="P221" s="60">
        <f>IF(N221=0,"",COUNTIF(F221:M221,"&lt;=2")/N221)</f>
        <v/>
      </c>
      <c r="Q221" s="57">
        <f>IF(N221=0,"",MEDIAN(F221:M221))</f>
        <v/>
      </c>
      <c r="R221" s="61">
        <f>IF(N221=0,"Not scored",IF(O221&gt;=0.8,"Include",IF(P221&gt;=0.8,"Exclude","Round 2")))</f>
        <v/>
      </c>
      <c r="S221" s="57" t="inlineStr"/>
      <c r="T221" s="57" t="inlineStr"/>
    </row>
    <row r="222">
      <c r="A222" s="57" t="inlineStr">
        <is>
          <t>Venous stenting</t>
        </is>
      </c>
      <c r="B222" s="57" t="inlineStr">
        <is>
          <t>antithrombotic-associated bleeding if prescribed</t>
        </is>
      </c>
      <c r="C222" s="57" t="inlineStr">
        <is>
          <t>Conditional / patient-specific</t>
        </is>
      </c>
      <c r="D222" s="57" t="inlineStr">
        <is>
          <t>No universal rate; 2024 serious-event series is not a generic incidence estimate</t>
        </is>
      </c>
      <c r="E222" s="57" t="inlineStr">
        <is>
          <t>[29] Mahnken et al. CIRSE Standards of Practice Guidelines on Iliocaval Stenting. 2014; DOI 10.1007/s00270-014-0875-4; PMID 24633533. [30] Major Complications of Deep Venous Stenting. 2024; PMID 39214918</t>
        </is>
      </c>
      <c r="F222" s="59" t="inlineStr"/>
      <c r="G222" s="59" t="inlineStr"/>
      <c r="H222" s="59" t="inlineStr"/>
      <c r="I222" s="59" t="inlineStr"/>
      <c r="J222" s="59" t="inlineStr"/>
      <c r="K222" s="59" t="inlineStr"/>
      <c r="L222" s="59" t="inlineStr"/>
      <c r="M222" s="59" t="inlineStr"/>
      <c r="N222" s="57">
        <f>COUNT(F222:M222)</f>
        <v/>
      </c>
      <c r="O222" s="60">
        <f>IF(N222=0,"",COUNTIF(F222:M222,"&gt;=4")/N222)</f>
        <v/>
      </c>
      <c r="P222" s="60">
        <f>IF(N222=0,"",COUNTIF(F222:M222,"&lt;=2")/N222)</f>
        <v/>
      </c>
      <c r="Q222" s="57">
        <f>IF(N222=0,"",MEDIAN(F222:M222))</f>
        <v/>
      </c>
      <c r="R222" s="61">
        <f>IF(N222=0,"Not scored",IF(O222&gt;=0.8,"Include",IF(P222&gt;=0.8,"Exclude","Round 2")))</f>
        <v/>
      </c>
      <c r="S222" s="57" t="inlineStr"/>
      <c r="T222" s="57" t="inlineStr"/>
    </row>
    <row r="223">
      <c r="A223" s="57" t="inlineStr">
        <is>
          <t>Venous stenting</t>
        </is>
      </c>
      <c r="B223" s="57" t="inlineStr">
        <is>
          <t>Iliocaval vs other venous bed, acute DVT vs chronic obstruction, thrombectomy, stent design and anticoagulation</t>
        </is>
      </c>
      <c r="C223" s="57" t="inlineStr">
        <is>
          <t>Conditional / patient-specific</t>
        </is>
      </c>
      <c r="D223" s="57" t="inlineStr">
        <is>
          <t>No universal rate; 2024 serious-event series is not a generic incidence estimate</t>
        </is>
      </c>
      <c r="E223" s="57" t="inlineStr">
        <is>
          <t>[29] Mahnken et al. CIRSE Standards of Practice Guidelines on Iliocaval Stenting. 2014; DOI 10.1007/s00270-014-0875-4; PMID 24633533. [30] Major Complications of Deep Venous Stenting. 2024; PMID 39214918</t>
        </is>
      </c>
      <c r="F223" s="59" t="inlineStr"/>
      <c r="G223" s="59" t="inlineStr"/>
      <c r="H223" s="59" t="inlineStr"/>
      <c r="I223" s="59" t="inlineStr"/>
      <c r="J223" s="59" t="inlineStr"/>
      <c r="K223" s="59" t="inlineStr"/>
      <c r="L223" s="59" t="inlineStr"/>
      <c r="M223" s="59" t="inlineStr"/>
      <c r="N223" s="57">
        <f>COUNT(F223:M223)</f>
        <v/>
      </c>
      <c r="O223" s="60">
        <f>IF(N223=0,"",COUNTIF(F223:M223,"&gt;=4")/N223)</f>
        <v/>
      </c>
      <c r="P223" s="60">
        <f>IF(N223=0,"",COUNTIF(F223:M223,"&lt;=2")/N223)</f>
        <v/>
      </c>
      <c r="Q223" s="57">
        <f>IF(N223=0,"",MEDIAN(F223:M223))</f>
        <v/>
      </c>
      <c r="R223" s="61">
        <f>IF(N223=0,"Not scored",IF(O223&gt;=0.8,"Include",IF(P223&gt;=0.8,"Exclude","Round 2")))</f>
        <v/>
      </c>
      <c r="S223" s="57" t="inlineStr"/>
      <c r="T223" s="57" t="inlineStr"/>
    </row>
  </sheetData>
  <autoFilter ref="A1:T223"/>
  <dataValidations count="2">
    <dataValidation sqref="F2:M2 F3:M3 F4:M4 F5:M5 F6:M6 F7:M7 F8:M8 F9:M9 F10:M10 F11:M11 F12:M12 F13:M13 F14:M14 F15:M15 F16:M16 F17:M17 F18:M18 F19:M19 F20:M20 F21:M21 F22:M22 F23:M23 F24:M24 F25:M25 F26:M26 F27:M27 F28:M28 F29:M29 F30:M30 F31:M31 F32:M32 F33:M33 F34:M34 F35:M35 F36:M36 F37:M37 F38:M38 F39:M39 F40:M40 F41:M41 F42:M42 F43:M43 F44:M44 F45:M45 F46:M46 F47:M47 F48:M48 F49:M49 F50:M50 F51:M51 F52:M52 F53:M53 F54:M54 F55:M55 F56:M56 F57:M57 F58:M58 F59:M59 F60:M60 F61:M61 F62:M62 F63:M63 F64:M64 F65:M65 F66:M66 F67:M67 F68:M68 F69:M69 F70:M70 F71:M71 F72:M72 F73:M73 F74:M74 F75:M75 F76:M76 F77:M77 F78:M78 F79:M79 F80:M80 F81:M81 F82:M82 F83:M83 F84:M84 F85:M85 F86:M86 F87:M87 F88:M88 F89:M89 F90:M90 F91:M91 F92:M92 F93:M93 F94:M94 F95:M95 F96:M96 F97:M97 F98:M98 F99:M99 F100:M100 F101:M101 F102:M102 F103:M103 F104:M104 F105:M105 F106:M106 F107:M107 F108:M108 F109:M109 F110:M110 F111:M111 F112:M112 F113:M113 F114:M114 F115:M115 F116:M116 F117:M117 F118:M118 F119:M119 F120:M120 F121:M121 F122:M122 F123:M123 F124:M124 F125:M125 F126:M126 F127:M127 F128:M128 F129:M129 F130:M130 F131:M131 F132:M132 F133:M133 F134:M134 F135:M135 F136:M136 F137:M137 F138:M138 F139:M139 F140:M140 F141:M141 F142:M142 F143:M143 F144:M144 F145:M145 F146:M146 F147:M147 F148:M148 F149:M149 F150:M150 F151:M151 F152:M152 F153:M153 F154:M154 F155:M155 F156:M156 F157:M157 F158:M158 F159:M159 F160:M160 F161:M161 F162:M162 F163:M163 F164:M164 F165:M165 F166:M166 F167:M167 F168:M168 F169:M169 F170:M170 F171:M171 F172:M172 F173:M173 F174:M174 F175:M175 F176:M176 F177:M177 F178:M178 F179:M179 F180:M180 F181:M181 F182:M182 F183:M183 F184:M184 F185:M185 F186:M186 F187:M187 F188:M188 F189:M189 F190:M190 F191:M191 F192:M192 F193:M193 F194:M194 F195:M195 F196:M196 F197:M197 F198:M198 F199:M199 F200:M200 F201:M201 F202:M202 F203:M203 F204:M204 F205:M205 F206:M206 F207:M207 F208:M208 F209:M209 F210:M210 F211:M211 F212:M212 F213:M213 F214:M214 F215:M215 F216:M216 F217:M217 F218:M218 F219:M219 F220:M220 F221:M221 F222:M222 F223:M223" showDropDown="0" showInputMessage="0" showErrorMessage="0" allowBlank="1" type="list">
      <formula1>"1,2,3,4,5"</formula1>
    </dataValidation>
    <dataValidation sqref="S2 S3 S4 S5 S6 S7 S8 S9 S10 S11 S12 S13 S14 S15 S16 S17 S18 S19 S20 S21 S22 S23 S24 S25 S26 S27 S28 S29 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S100 S101 S102 S103 S104 S105 S106 S107 S108 S109 S110 S111 S112 S113 S114 S115 S116 S117 S118 S119 S120 S121 S122 S123 S124 S125 S126 S127 S128 S129 S130 S131 S132 S133 S134 S135 S136 S137 S138 S139 S140 S141 S142 S143 S144 S145 S146 S147 S148 S149 S150 S151 S152 S153 S154 S155 S156 S157 S158 S159 S160 S161 S162 S163 S164 S165 S166 S167 S168 S169 S170 S171 S172 S173 S174 S175 S176 S177 S178 S179 S180 S181 S182 S183 S184 S185 S186 S187 S188 S189 S190 S191 S192 S193 S194 S195 S196 S197 S198 S199 S200 S201 S202 S203 S204 S205 S206 S207 S208 S209 S210 S211 S212 S213 S214 S215 S216 S217 S218 S219 S220 S221 S222 S223" showDropDown="0" showInputMessage="0" showErrorMessage="0" allowBlank="1" type="list">
      <formula1>"Yes,No,Unsure"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223"/>
  <sheetViews>
    <sheetView workbookViewId="0">
      <pane ySplit="1" topLeftCell="A2" activePane="bottomLeft" state="frozen"/>
      <selection pane="bottomLeft" activeCell="A1" sqref="A1"/>
    </sheetView>
  </sheetViews>
  <sheetFormatPr baseColWidth="8" defaultRowHeight="15"/>
  <cols>
    <col width="30" customWidth="1" min="1" max="1"/>
    <col width="55" customWidth="1" min="2" max="2"/>
    <col width="26" customWidth="1" min="3" max="3"/>
    <col width="12" customWidth="1" min="4" max="4"/>
    <col width="12" customWidth="1" min="5" max="5"/>
    <col width="12" customWidth="1" min="6" max="6"/>
    <col width="15"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0" customWidth="1" min="16" max="16"/>
    <col width="12" customWidth="1" min="17" max="17"/>
    <col width="12" customWidth="1" min="18" max="18"/>
    <col width="12" customWidth="1" min="19" max="19"/>
    <col width="18" customWidth="1" min="20" max="20"/>
    <col width="45" customWidth="1" min="21" max="21"/>
  </cols>
  <sheetData>
    <row r="1">
      <c r="A1" s="58" t="inlineStr">
        <is>
          <t>Procedure</t>
        </is>
      </c>
      <c r="B1" s="58" t="inlineStr">
        <is>
          <t>Candidate risk</t>
        </is>
      </c>
      <c r="C1" s="58" t="inlineStr">
        <is>
          <t>Risk type</t>
        </is>
      </c>
      <c r="D1" s="58" t="inlineStr">
        <is>
          <t>Round 1 % 4–5</t>
        </is>
      </c>
      <c r="E1" s="58" t="inlineStr">
        <is>
          <t>Round 1 % 1–2</t>
        </is>
      </c>
      <c r="F1" s="58" t="inlineStr">
        <is>
          <t>Round 1 median</t>
        </is>
      </c>
      <c r="G1" s="58" t="inlineStr">
        <is>
          <t>Round 1 status</t>
        </is>
      </c>
      <c r="H1" s="58" t="inlineStr">
        <is>
          <t>Consultant 1</t>
        </is>
      </c>
      <c r="I1" s="58" t="inlineStr">
        <is>
          <t>Consultant 2</t>
        </is>
      </c>
      <c r="J1" s="58" t="inlineStr">
        <is>
          <t>Consultant 3</t>
        </is>
      </c>
      <c r="K1" s="58" t="inlineStr">
        <is>
          <t>Consultant 4</t>
        </is>
      </c>
      <c r="L1" s="58" t="inlineStr">
        <is>
          <t>Consultant 5</t>
        </is>
      </c>
      <c r="M1" s="58" t="inlineStr">
        <is>
          <t>Consultant 6</t>
        </is>
      </c>
      <c r="N1" s="58" t="inlineStr">
        <is>
          <t>Consultant 7</t>
        </is>
      </c>
      <c r="O1" s="58" t="inlineStr">
        <is>
          <t>Consultant 8</t>
        </is>
      </c>
      <c r="P1" s="58" t="inlineStr">
        <is>
          <t>Responses</t>
        </is>
      </c>
      <c r="Q1" s="58" t="inlineStr">
        <is>
          <t>% score 4–5</t>
        </is>
      </c>
      <c r="R1" s="58" t="inlineStr">
        <is>
          <t>% score 1–2</t>
        </is>
      </c>
      <c r="S1" s="58" t="inlineStr">
        <is>
          <t>Median score</t>
        </is>
      </c>
      <c r="T1" s="58" t="inlineStr">
        <is>
          <t>Final status</t>
        </is>
      </c>
      <c r="U1" s="58" t="inlineStr">
        <is>
          <t>Comments</t>
        </is>
      </c>
    </row>
    <row r="2">
      <c r="A2" s="57" t="inlineStr">
        <is>
          <t>Bronchial artery embolisation (BAE)</t>
        </is>
      </c>
      <c r="B2" s="57" t="inlineStr">
        <is>
          <t>Chest discomfort and post-embolisation symptoms</t>
        </is>
      </c>
      <c r="C2" s="57" t="inlineStr">
        <is>
          <t>Core candidate</t>
        </is>
      </c>
      <c r="D2" s="60">
        <f>'Delphi Round 1'!O2</f>
        <v/>
      </c>
      <c r="E2" s="60">
        <f>'Delphi Round 1'!P2</f>
        <v/>
      </c>
      <c r="F2" s="57">
        <f>'Delphi Round 1'!Q2</f>
        <v/>
      </c>
      <c r="G2" s="57">
        <f>'Delphi Round 1'!R2</f>
        <v/>
      </c>
      <c r="H2" s="57" t="inlineStr"/>
      <c r="I2" s="57" t="inlineStr"/>
      <c r="J2" s="57" t="inlineStr"/>
      <c r="K2" s="57" t="inlineStr"/>
      <c r="L2" s="57" t="inlineStr"/>
      <c r="M2" s="57" t="inlineStr"/>
      <c r="N2" s="57" t="inlineStr"/>
      <c r="O2" s="57" t="inlineStr"/>
      <c r="P2" s="57">
        <f>COUNT(H2:O2)</f>
        <v/>
      </c>
      <c r="Q2" s="60">
        <f>IF(P2=0,"",COUNTIF(H2:O2,"&gt;=4")/P2)</f>
        <v/>
      </c>
      <c r="R2" s="60">
        <f>IF(P2=0,"",COUNTIF(H2:O2,"&lt;=2")/P2)</f>
        <v/>
      </c>
      <c r="S2" s="57">
        <f>IF(P2=0,"",MEDIAN(H2:O2))</f>
        <v/>
      </c>
      <c r="T2" s="57">
        <f>IF(G2&lt;&gt;"Round 2",G2,IF(P2=0,"Awaiting Round 2",IF(Q2&gt;=0.8,"Include",IF(R2&gt;=0.8,"Exclude","No consensus"))))</f>
        <v/>
      </c>
      <c r="U2" s="57" t="inlineStr"/>
    </row>
    <row r="3">
      <c r="A3" s="57" t="inlineStr">
        <is>
          <t>Bronchial artery embolisation (BAE)</t>
        </is>
      </c>
      <c r="B3" s="57" t="inlineStr">
        <is>
          <t>technical failure or recurrent haemoptysis</t>
        </is>
      </c>
      <c r="C3" s="57" t="inlineStr">
        <is>
          <t>Core candidate</t>
        </is>
      </c>
      <c r="D3" s="60">
        <f>'Delphi Round 1'!O3</f>
        <v/>
      </c>
      <c r="E3" s="60">
        <f>'Delphi Round 1'!P3</f>
        <v/>
      </c>
      <c r="F3" s="57">
        <f>'Delphi Round 1'!Q3</f>
        <v/>
      </c>
      <c r="G3" s="57">
        <f>'Delphi Round 1'!R3</f>
        <v/>
      </c>
      <c r="H3" s="57" t="inlineStr"/>
      <c r="I3" s="57" t="inlineStr"/>
      <c r="J3" s="57" t="inlineStr"/>
      <c r="K3" s="57" t="inlineStr"/>
      <c r="L3" s="57" t="inlineStr"/>
      <c r="M3" s="57" t="inlineStr"/>
      <c r="N3" s="57" t="inlineStr"/>
      <c r="O3" s="57" t="inlineStr"/>
      <c r="P3" s="57">
        <f>COUNT(H3:O3)</f>
        <v/>
      </c>
      <c r="Q3" s="60">
        <f>IF(P3=0,"",COUNTIF(H3:O3,"&gt;=4")/P3)</f>
        <v/>
      </c>
      <c r="R3" s="60">
        <f>IF(P3=0,"",COUNTIF(H3:O3,"&lt;=2")/P3)</f>
        <v/>
      </c>
      <c r="S3" s="57">
        <f>IF(P3=0,"",MEDIAN(H3:O3))</f>
        <v/>
      </c>
      <c r="T3" s="57">
        <f>IF(G3&lt;&gt;"Round 2",G3,IF(P3=0,"Awaiting Round 2",IF(Q3&gt;=0.8,"Include",IF(R3&gt;=0.8,"Exclude","No consensus"))))</f>
        <v/>
      </c>
      <c r="U3" s="57" t="inlineStr"/>
    </row>
    <row r="4">
      <c r="A4" s="57" t="inlineStr">
        <is>
          <t>Bronchial artery embolisation (BAE)</t>
        </is>
      </c>
      <c r="B4" s="57" t="inlineStr">
        <is>
          <t>Bronchial ischaemia/infarction</t>
        </is>
      </c>
      <c r="C4" s="57" t="inlineStr">
        <is>
          <t>Core candidate</t>
        </is>
      </c>
      <c r="D4" s="60">
        <f>'Delphi Round 1'!O4</f>
        <v/>
      </c>
      <c r="E4" s="60">
        <f>'Delphi Round 1'!P4</f>
        <v/>
      </c>
      <c r="F4" s="57">
        <f>'Delphi Round 1'!Q4</f>
        <v/>
      </c>
      <c r="G4" s="57">
        <f>'Delphi Round 1'!R4</f>
        <v/>
      </c>
      <c r="H4" s="57" t="inlineStr"/>
      <c r="I4" s="57" t="inlineStr"/>
      <c r="J4" s="57" t="inlineStr"/>
      <c r="K4" s="57" t="inlineStr"/>
      <c r="L4" s="57" t="inlineStr"/>
      <c r="M4" s="57" t="inlineStr"/>
      <c r="N4" s="57" t="inlineStr"/>
      <c r="O4" s="57" t="inlineStr"/>
      <c r="P4" s="57">
        <f>COUNT(H4:O4)</f>
        <v/>
      </c>
      <c r="Q4" s="60">
        <f>IF(P4=0,"",COUNTIF(H4:O4,"&gt;=4")/P4)</f>
        <v/>
      </c>
      <c r="R4" s="60">
        <f>IF(P4=0,"",COUNTIF(H4:O4,"&lt;=2")/P4)</f>
        <v/>
      </c>
      <c r="S4" s="57">
        <f>IF(P4=0,"",MEDIAN(H4:O4))</f>
        <v/>
      </c>
      <c r="T4" s="57">
        <f>IF(G4&lt;&gt;"Round 2",G4,IF(P4=0,"Awaiting Round 2",IF(Q4&gt;=0.8,"Include",IF(R4&gt;=0.8,"Exclude","No consensus"))))</f>
        <v/>
      </c>
      <c r="U4" s="57" t="inlineStr"/>
    </row>
    <row r="5">
      <c r="A5" s="57" t="inlineStr">
        <is>
          <t>Bronchial artery embolisation (BAE)</t>
        </is>
      </c>
      <c r="B5" s="57" t="inlineStr">
        <is>
          <t>oesophageal ischaemia</t>
        </is>
      </c>
      <c r="C5" s="57" t="inlineStr">
        <is>
          <t>Core candidate</t>
        </is>
      </c>
      <c r="D5" s="60">
        <f>'Delphi Round 1'!O5</f>
        <v/>
      </c>
      <c r="E5" s="60">
        <f>'Delphi Round 1'!P5</f>
        <v/>
      </c>
      <c r="F5" s="57">
        <f>'Delphi Round 1'!Q5</f>
        <v/>
      </c>
      <c r="G5" s="57">
        <f>'Delphi Round 1'!R5</f>
        <v/>
      </c>
      <c r="H5" s="57" t="inlineStr"/>
      <c r="I5" s="57" t="inlineStr"/>
      <c r="J5" s="57" t="inlineStr"/>
      <c r="K5" s="57" t="inlineStr"/>
      <c r="L5" s="57" t="inlineStr"/>
      <c r="M5" s="57" t="inlineStr"/>
      <c r="N5" s="57" t="inlineStr"/>
      <c r="O5" s="57" t="inlineStr"/>
      <c r="P5" s="57">
        <f>COUNT(H5:O5)</f>
        <v/>
      </c>
      <c r="Q5" s="60">
        <f>IF(P5=0,"",COUNTIF(H5:O5,"&gt;=4")/P5)</f>
        <v/>
      </c>
      <c r="R5" s="60">
        <f>IF(P5=0,"",COUNTIF(H5:O5,"&lt;=2")/P5)</f>
        <v/>
      </c>
      <c r="S5" s="57">
        <f>IF(P5=0,"",MEDIAN(H5:O5))</f>
        <v/>
      </c>
      <c r="T5" s="57">
        <f>IF(G5&lt;&gt;"Round 2",G5,IF(P5=0,"Awaiting Round 2",IF(Q5&gt;=0.8,"Include",IF(R5&gt;=0.8,"Exclude","No consensus"))))</f>
        <v/>
      </c>
      <c r="U5" s="57" t="inlineStr"/>
    </row>
    <row r="6">
      <c r="A6" s="57" t="inlineStr">
        <is>
          <t>Bronchial artery embolisation (BAE)</t>
        </is>
      </c>
      <c r="B6" s="57" t="inlineStr">
        <is>
          <t>Non-target embolisation causing spinal cord infarction/neurological deficit, stroke, myocardial or other systemic infarction</t>
        </is>
      </c>
      <c r="C6" s="57" t="inlineStr">
        <is>
          <t>Core candidate</t>
        </is>
      </c>
      <c r="D6" s="60">
        <f>'Delphi Round 1'!O6</f>
        <v/>
      </c>
      <c r="E6" s="60">
        <f>'Delphi Round 1'!P6</f>
        <v/>
      </c>
      <c r="F6" s="57">
        <f>'Delphi Round 1'!Q6</f>
        <v/>
      </c>
      <c r="G6" s="57">
        <f>'Delphi Round 1'!R6</f>
        <v/>
      </c>
      <c r="H6" s="57" t="inlineStr"/>
      <c r="I6" s="57" t="inlineStr"/>
      <c r="J6" s="57" t="inlineStr"/>
      <c r="K6" s="57" t="inlineStr"/>
      <c r="L6" s="57" t="inlineStr"/>
      <c r="M6" s="57" t="inlineStr"/>
      <c r="N6" s="57" t="inlineStr"/>
      <c r="O6" s="57" t="inlineStr"/>
      <c r="P6" s="57">
        <f>COUNT(H6:O6)</f>
        <v/>
      </c>
      <c r="Q6" s="60">
        <f>IF(P6=0,"",COUNTIF(H6:O6,"&gt;=4")/P6)</f>
        <v/>
      </c>
      <c r="R6" s="60">
        <f>IF(P6=0,"",COUNTIF(H6:O6,"&lt;=2")/P6)</f>
        <v/>
      </c>
      <c r="S6" s="57">
        <f>IF(P6=0,"",MEDIAN(H6:O6))</f>
        <v/>
      </c>
      <c r="T6" s="57">
        <f>IF(G6&lt;&gt;"Round 2",G6,IF(P6=0,"Awaiting Round 2",IF(Q6&gt;=0.8,"Include",IF(R6&gt;=0.8,"Exclude","No consensus"))))</f>
        <v/>
      </c>
      <c r="U6" s="57" t="inlineStr"/>
    </row>
    <row r="7">
      <c r="A7" s="57" t="inlineStr">
        <is>
          <t>Bronchial artery embolisation (BAE)</t>
        </is>
      </c>
      <c r="B7" s="57" t="inlineStr">
        <is>
          <t>rare oesophago-bronchial fistula</t>
        </is>
      </c>
      <c r="C7" s="57" t="inlineStr">
        <is>
          <t>Core candidate</t>
        </is>
      </c>
      <c r="D7" s="60">
        <f>'Delphi Round 1'!O7</f>
        <v/>
      </c>
      <c r="E7" s="60">
        <f>'Delphi Round 1'!P7</f>
        <v/>
      </c>
      <c r="F7" s="57">
        <f>'Delphi Round 1'!Q7</f>
        <v/>
      </c>
      <c r="G7" s="57">
        <f>'Delphi Round 1'!R7</f>
        <v/>
      </c>
      <c r="H7" s="57" t="inlineStr"/>
      <c r="I7" s="57" t="inlineStr"/>
      <c r="J7" s="57" t="inlineStr"/>
      <c r="K7" s="57" t="inlineStr"/>
      <c r="L7" s="57" t="inlineStr"/>
      <c r="M7" s="57" t="inlineStr"/>
      <c r="N7" s="57" t="inlineStr"/>
      <c r="O7" s="57" t="inlineStr"/>
      <c r="P7" s="57">
        <f>COUNT(H7:O7)</f>
        <v/>
      </c>
      <c r="Q7" s="60">
        <f>IF(P7=0,"",COUNTIF(H7:O7,"&gt;=4")/P7)</f>
        <v/>
      </c>
      <c r="R7" s="60">
        <f>IF(P7=0,"",COUNTIF(H7:O7,"&lt;=2")/P7)</f>
        <v/>
      </c>
      <c r="S7" s="57">
        <f>IF(P7=0,"",MEDIAN(H7:O7))</f>
        <v/>
      </c>
      <c r="T7" s="57">
        <f>IF(G7&lt;&gt;"Round 2",G7,IF(P7=0,"Awaiting Round 2",IF(Q7&gt;=0.8,"Include",IF(R7&gt;=0.8,"Exclude","No consensus"))))</f>
        <v/>
      </c>
      <c r="U7" s="57" t="inlineStr"/>
    </row>
    <row r="8">
      <c r="A8" s="57" t="inlineStr">
        <is>
          <t>Bronchial artery embolisation (BAE)</t>
        </is>
      </c>
      <c r="B8" s="57" t="inlineStr">
        <is>
          <t>Access bleeding/haematoma</t>
        </is>
      </c>
      <c r="C8" s="57" t="inlineStr">
        <is>
          <t>Core candidate</t>
        </is>
      </c>
      <c r="D8" s="60">
        <f>'Delphi Round 1'!O8</f>
        <v/>
      </c>
      <c r="E8" s="60">
        <f>'Delphi Round 1'!P8</f>
        <v/>
      </c>
      <c r="F8" s="57">
        <f>'Delphi Round 1'!Q8</f>
        <v/>
      </c>
      <c r="G8" s="57">
        <f>'Delphi Round 1'!R8</f>
        <v/>
      </c>
      <c r="H8" s="57" t="inlineStr"/>
      <c r="I8" s="57" t="inlineStr"/>
      <c r="J8" s="57" t="inlineStr"/>
      <c r="K8" s="57" t="inlineStr"/>
      <c r="L8" s="57" t="inlineStr"/>
      <c r="M8" s="57" t="inlineStr"/>
      <c r="N8" s="57" t="inlineStr"/>
      <c r="O8" s="57" t="inlineStr"/>
      <c r="P8" s="57">
        <f>COUNT(H8:O8)</f>
        <v/>
      </c>
      <c r="Q8" s="60">
        <f>IF(P8=0,"",COUNTIF(H8:O8,"&gt;=4")/P8)</f>
        <v/>
      </c>
      <c r="R8" s="60">
        <f>IF(P8=0,"",COUNTIF(H8:O8,"&lt;=2")/P8)</f>
        <v/>
      </c>
      <c r="S8" s="57">
        <f>IF(P8=0,"",MEDIAN(H8:O8))</f>
        <v/>
      </c>
      <c r="T8" s="57">
        <f>IF(G8&lt;&gt;"Round 2",G8,IF(P8=0,"Awaiting Round 2",IF(Q8&gt;=0.8,"Include",IF(R8&gt;=0.8,"Exclude","No consensus"))))</f>
        <v/>
      </c>
      <c r="U8" s="57" t="inlineStr"/>
    </row>
    <row r="9">
      <c r="A9" s="57" t="inlineStr">
        <is>
          <t>Bronchial artery embolisation (BAE)</t>
        </is>
      </c>
      <c r="B9" s="57" t="inlineStr">
        <is>
          <t>arterial injury</t>
        </is>
      </c>
      <c r="C9" s="57" t="inlineStr">
        <is>
          <t>Core candidate</t>
        </is>
      </c>
      <c r="D9" s="60">
        <f>'Delphi Round 1'!O9</f>
        <v/>
      </c>
      <c r="E9" s="60">
        <f>'Delphi Round 1'!P9</f>
        <v/>
      </c>
      <c r="F9" s="57">
        <f>'Delphi Round 1'!Q9</f>
        <v/>
      </c>
      <c r="G9" s="57">
        <f>'Delphi Round 1'!R9</f>
        <v/>
      </c>
      <c r="H9" s="57" t="inlineStr"/>
      <c r="I9" s="57" t="inlineStr"/>
      <c r="J9" s="57" t="inlineStr"/>
      <c r="K9" s="57" t="inlineStr"/>
      <c r="L9" s="57" t="inlineStr"/>
      <c r="M9" s="57" t="inlineStr"/>
      <c r="N9" s="57" t="inlineStr"/>
      <c r="O9" s="57" t="inlineStr"/>
      <c r="P9" s="57">
        <f>COUNT(H9:O9)</f>
        <v/>
      </c>
      <c r="Q9" s="60">
        <f>IF(P9=0,"",COUNTIF(H9:O9,"&gt;=4")/P9)</f>
        <v/>
      </c>
      <c r="R9" s="60">
        <f>IF(P9=0,"",COUNTIF(H9:O9,"&lt;=2")/P9)</f>
        <v/>
      </c>
      <c r="S9" s="57">
        <f>IF(P9=0,"",MEDIAN(H9:O9))</f>
        <v/>
      </c>
      <c r="T9" s="57">
        <f>IF(G9&lt;&gt;"Round 2",G9,IF(P9=0,"Awaiting Round 2",IF(Q9&gt;=0.8,"Include",IF(R9&gt;=0.8,"Exclude","No consensus"))))</f>
        <v/>
      </c>
      <c r="U9" s="57" t="inlineStr"/>
    </row>
    <row r="10">
      <c r="A10" s="57" t="inlineStr">
        <is>
          <t>Bronchial artery embolisation (BAE)</t>
        </is>
      </c>
      <c r="B10" s="57" t="inlineStr">
        <is>
          <t>Contrast reaction/AKI and radiation exposure when relevant</t>
        </is>
      </c>
      <c r="C10" s="57" t="inlineStr">
        <is>
          <t>Conditional / patient-specific</t>
        </is>
      </c>
      <c r="D10" s="60">
        <f>'Delphi Round 1'!O10</f>
        <v/>
      </c>
      <c r="E10" s="60">
        <f>'Delphi Round 1'!P10</f>
        <v/>
      </c>
      <c r="F10" s="57">
        <f>'Delphi Round 1'!Q10</f>
        <v/>
      </c>
      <c r="G10" s="57">
        <f>'Delphi Round 1'!R10</f>
        <v/>
      </c>
      <c r="H10" s="57" t="inlineStr"/>
      <c r="I10" s="57" t="inlineStr"/>
      <c r="J10" s="57" t="inlineStr"/>
      <c r="K10" s="57" t="inlineStr"/>
      <c r="L10" s="57" t="inlineStr"/>
      <c r="M10" s="57" t="inlineStr"/>
      <c r="N10" s="57" t="inlineStr"/>
      <c r="O10" s="57" t="inlineStr"/>
      <c r="P10" s="57">
        <f>COUNT(H10:O10)</f>
        <v/>
      </c>
      <c r="Q10" s="60">
        <f>IF(P10=0,"",COUNTIF(H10:O10,"&gt;=4")/P10)</f>
        <v/>
      </c>
      <c r="R10" s="60">
        <f>IF(P10=0,"",COUNTIF(H10:O10,"&lt;=2")/P10)</f>
        <v/>
      </c>
      <c r="S10" s="57">
        <f>IF(P10=0,"",MEDIAN(H10:O10))</f>
        <v/>
      </c>
      <c r="T10" s="57">
        <f>IF(G10&lt;&gt;"Round 2",G10,IF(P10=0,"Awaiting Round 2",IF(Q10&gt;=0.8,"Include",IF(R10&gt;=0.8,"Exclude","No consensus"))))</f>
        <v/>
      </c>
      <c r="U10" s="57" t="inlineStr"/>
    </row>
    <row r="11">
      <c r="A11" s="57" t="inlineStr">
        <is>
          <t>Bronchial artery embolisation (BAE)</t>
        </is>
      </c>
      <c r="B11" s="57" t="inlineStr">
        <is>
          <t>sedation if used</t>
        </is>
      </c>
      <c r="C11" s="57" t="inlineStr">
        <is>
          <t>Conditional / patient-specific</t>
        </is>
      </c>
      <c r="D11" s="60">
        <f>'Delphi Round 1'!O11</f>
        <v/>
      </c>
      <c r="E11" s="60">
        <f>'Delphi Round 1'!P11</f>
        <v/>
      </c>
      <c r="F11" s="57">
        <f>'Delphi Round 1'!Q11</f>
        <v/>
      </c>
      <c r="G11" s="57">
        <f>'Delphi Round 1'!R11</f>
        <v/>
      </c>
      <c r="H11" s="57" t="inlineStr"/>
      <c r="I11" s="57" t="inlineStr"/>
      <c r="J11" s="57" t="inlineStr"/>
      <c r="K11" s="57" t="inlineStr"/>
      <c r="L11" s="57" t="inlineStr"/>
      <c r="M11" s="57" t="inlineStr"/>
      <c r="N11" s="57" t="inlineStr"/>
      <c r="O11" s="57" t="inlineStr"/>
      <c r="P11" s="57">
        <f>COUNT(H11:O11)</f>
        <v/>
      </c>
      <c r="Q11" s="60">
        <f>IF(P11=0,"",COUNTIF(H11:O11,"&gt;=4")/P11)</f>
        <v/>
      </c>
      <c r="R11" s="60">
        <f>IF(P11=0,"",COUNTIF(H11:O11,"&lt;=2")/P11)</f>
        <v/>
      </c>
      <c r="S11" s="57">
        <f>IF(P11=0,"",MEDIAN(H11:O11))</f>
        <v/>
      </c>
      <c r="T11" s="57">
        <f>IF(G11&lt;&gt;"Round 2",G11,IF(P11=0,"Awaiting Round 2",IF(Q11&gt;=0.8,"Include",IF(R11&gt;=0.8,"Exclude","No consensus"))))</f>
        <v/>
      </c>
      <c r="U11" s="57" t="inlineStr"/>
    </row>
    <row r="12">
      <c r="A12" s="57" t="inlineStr">
        <is>
          <t>Bronchial artery embolisation (BAE)</t>
        </is>
      </c>
      <c r="B12" s="57" t="inlineStr">
        <is>
          <t>Anatomy, spinal feeders, shunts, embolic particle size, emergency status</t>
        </is>
      </c>
      <c r="C12" s="57" t="inlineStr">
        <is>
          <t>Conditional / patient-specific</t>
        </is>
      </c>
      <c r="D12" s="60">
        <f>'Delphi Round 1'!O12</f>
        <v/>
      </c>
      <c r="E12" s="60">
        <f>'Delphi Round 1'!P12</f>
        <v/>
      </c>
      <c r="F12" s="57">
        <f>'Delphi Round 1'!Q12</f>
        <v/>
      </c>
      <c r="G12" s="57">
        <f>'Delphi Round 1'!R12</f>
        <v/>
      </c>
      <c r="H12" s="57" t="inlineStr"/>
      <c r="I12" s="57" t="inlineStr"/>
      <c r="J12" s="57" t="inlineStr"/>
      <c r="K12" s="57" t="inlineStr"/>
      <c r="L12" s="57" t="inlineStr"/>
      <c r="M12" s="57" t="inlineStr"/>
      <c r="N12" s="57" t="inlineStr"/>
      <c r="O12" s="57" t="inlineStr"/>
      <c r="P12" s="57">
        <f>COUNT(H12:O12)</f>
        <v/>
      </c>
      <c r="Q12" s="60">
        <f>IF(P12=0,"",COUNTIF(H12:O12,"&gt;=4")/P12)</f>
        <v/>
      </c>
      <c r="R12" s="60">
        <f>IF(P12=0,"",COUNTIF(H12:O12,"&lt;=2")/P12)</f>
        <v/>
      </c>
      <c r="S12" s="57">
        <f>IF(P12=0,"",MEDIAN(H12:O12))</f>
        <v/>
      </c>
      <c r="T12" s="57">
        <f>IF(G12&lt;&gt;"Round 2",G12,IF(P12=0,"Awaiting Round 2",IF(Q12&gt;=0.8,"Include",IF(R12&gt;=0.8,"Exclude","No consensus"))))</f>
        <v/>
      </c>
      <c r="U12" s="57" t="inlineStr"/>
    </row>
    <row r="13">
      <c r="A13" s="57" t="inlineStr">
        <is>
          <t>Carotid artery angioplasty and stenting (CAS)</t>
        </is>
      </c>
      <c r="B13" s="57" t="inlineStr">
        <is>
          <t>Access-site bruising/bleeding</t>
        </is>
      </c>
      <c r="C13" s="57" t="inlineStr">
        <is>
          <t>Core candidate</t>
        </is>
      </c>
      <c r="D13" s="60">
        <f>'Delphi Round 1'!O13</f>
        <v/>
      </c>
      <c r="E13" s="60">
        <f>'Delphi Round 1'!P13</f>
        <v/>
      </c>
      <c r="F13" s="57">
        <f>'Delphi Round 1'!Q13</f>
        <v/>
      </c>
      <c r="G13" s="57">
        <f>'Delphi Round 1'!R13</f>
        <v/>
      </c>
      <c r="H13" s="57" t="inlineStr"/>
      <c r="I13" s="57" t="inlineStr"/>
      <c r="J13" s="57" t="inlineStr"/>
      <c r="K13" s="57" t="inlineStr"/>
      <c r="L13" s="57" t="inlineStr"/>
      <c r="M13" s="57" t="inlineStr"/>
      <c r="N13" s="57" t="inlineStr"/>
      <c r="O13" s="57" t="inlineStr"/>
      <c r="P13" s="57">
        <f>COUNT(H13:O13)</f>
        <v/>
      </c>
      <c r="Q13" s="60">
        <f>IF(P13=0,"",COUNTIF(H13:O13,"&gt;=4")/P13)</f>
        <v/>
      </c>
      <c r="R13" s="60">
        <f>IF(P13=0,"",COUNTIF(H13:O13,"&lt;=2")/P13)</f>
        <v/>
      </c>
      <c r="S13" s="57">
        <f>IF(P13=0,"",MEDIAN(H13:O13))</f>
        <v/>
      </c>
      <c r="T13" s="57">
        <f>IF(G13&lt;&gt;"Round 2",G13,IF(P13=0,"Awaiting Round 2",IF(Q13&gt;=0.8,"Include",IF(R13&gt;=0.8,"Exclude","No consensus"))))</f>
        <v/>
      </c>
      <c r="U13" s="57" t="inlineStr"/>
    </row>
    <row r="14">
      <c r="A14" s="57" t="inlineStr">
        <is>
          <t>Carotid artery angioplasty and stenting (CAS)</t>
        </is>
      </c>
      <c r="B14" s="57" t="inlineStr">
        <is>
          <t>transient haemodynamic effects</t>
        </is>
      </c>
      <c r="C14" s="57" t="inlineStr">
        <is>
          <t>Core candidate</t>
        </is>
      </c>
      <c r="D14" s="60">
        <f>'Delphi Round 1'!O14</f>
        <v/>
      </c>
      <c r="E14" s="60">
        <f>'Delphi Round 1'!P14</f>
        <v/>
      </c>
      <c r="F14" s="57">
        <f>'Delphi Round 1'!Q14</f>
        <v/>
      </c>
      <c r="G14" s="57">
        <f>'Delphi Round 1'!R14</f>
        <v/>
      </c>
      <c r="H14" s="57" t="inlineStr"/>
      <c r="I14" s="57" t="inlineStr"/>
      <c r="J14" s="57" t="inlineStr"/>
      <c r="K14" s="57" t="inlineStr"/>
      <c r="L14" s="57" t="inlineStr"/>
      <c r="M14" s="57" t="inlineStr"/>
      <c r="N14" s="57" t="inlineStr"/>
      <c r="O14" s="57" t="inlineStr"/>
      <c r="P14" s="57">
        <f>COUNT(H14:O14)</f>
        <v/>
      </c>
      <c r="Q14" s="60">
        <f>IF(P14=0,"",COUNTIF(H14:O14,"&gt;=4")/P14)</f>
        <v/>
      </c>
      <c r="R14" s="60">
        <f>IF(P14=0,"",COUNTIF(H14:O14,"&lt;=2")/P14)</f>
        <v/>
      </c>
      <c r="S14" s="57">
        <f>IF(P14=0,"",MEDIAN(H14:O14))</f>
        <v/>
      </c>
      <c r="T14" s="57">
        <f>IF(G14&lt;&gt;"Round 2",G14,IF(P14=0,"Awaiting Round 2",IF(Q14&gt;=0.8,"Include",IF(R14&gt;=0.8,"Exclude","No consensus"))))</f>
        <v/>
      </c>
      <c r="U14" s="57" t="inlineStr"/>
    </row>
    <row r="15">
      <c r="A15" s="57" t="inlineStr">
        <is>
          <t>Carotid artery angioplasty and stenting (CAS)</t>
        </is>
      </c>
      <c r="B15" s="57" t="inlineStr">
        <is>
          <t>TIA, stroke, distal embolisation</t>
        </is>
      </c>
      <c r="C15" s="57" t="inlineStr">
        <is>
          <t>Core candidate</t>
        </is>
      </c>
      <c r="D15" s="60">
        <f>'Delphi Round 1'!O15</f>
        <v/>
      </c>
      <c r="E15" s="60">
        <f>'Delphi Round 1'!P15</f>
        <v/>
      </c>
      <c r="F15" s="57">
        <f>'Delphi Round 1'!Q15</f>
        <v/>
      </c>
      <c r="G15" s="57">
        <f>'Delphi Round 1'!R15</f>
        <v/>
      </c>
      <c r="H15" s="57" t="inlineStr"/>
      <c r="I15" s="57" t="inlineStr"/>
      <c r="J15" s="57" t="inlineStr"/>
      <c r="K15" s="57" t="inlineStr"/>
      <c r="L15" s="57" t="inlineStr"/>
      <c r="M15" s="57" t="inlineStr"/>
      <c r="N15" s="57" t="inlineStr"/>
      <c r="O15" s="57" t="inlineStr"/>
      <c r="P15" s="57">
        <f>COUNT(H15:O15)</f>
        <v/>
      </c>
      <c r="Q15" s="60">
        <f>IF(P15=0,"",COUNTIF(H15:O15,"&gt;=4")/P15)</f>
        <v/>
      </c>
      <c r="R15" s="60">
        <f>IF(P15=0,"",COUNTIF(H15:O15,"&lt;=2")/P15)</f>
        <v/>
      </c>
      <c r="S15" s="57">
        <f>IF(P15=0,"",MEDIAN(H15:O15))</f>
        <v/>
      </c>
      <c r="T15" s="57">
        <f>IF(G15&lt;&gt;"Round 2",G15,IF(P15=0,"Awaiting Round 2",IF(Q15&gt;=0.8,"Include",IF(R15&gt;=0.8,"Exclude","No consensus"))))</f>
        <v/>
      </c>
      <c r="U15" s="57" t="inlineStr"/>
    </row>
    <row r="16">
      <c r="A16" s="57" t="inlineStr">
        <is>
          <t>Carotid artery angioplasty and stenting (CAS)</t>
        </is>
      </c>
      <c r="B16" s="57" t="inlineStr">
        <is>
          <t>bradycardia/hypotension</t>
        </is>
      </c>
      <c r="C16" s="57" t="inlineStr">
        <is>
          <t>Core candidate</t>
        </is>
      </c>
      <c r="D16" s="60">
        <f>'Delphi Round 1'!O16</f>
        <v/>
      </c>
      <c r="E16" s="60">
        <f>'Delphi Round 1'!P16</f>
        <v/>
      </c>
      <c r="F16" s="57">
        <f>'Delphi Round 1'!Q16</f>
        <v/>
      </c>
      <c r="G16" s="57">
        <f>'Delphi Round 1'!R16</f>
        <v/>
      </c>
      <c r="H16" s="57" t="inlineStr"/>
      <c r="I16" s="57" t="inlineStr"/>
      <c r="J16" s="57" t="inlineStr"/>
      <c r="K16" s="57" t="inlineStr"/>
      <c r="L16" s="57" t="inlineStr"/>
      <c r="M16" s="57" t="inlineStr"/>
      <c r="N16" s="57" t="inlineStr"/>
      <c r="O16" s="57" t="inlineStr"/>
      <c r="P16" s="57">
        <f>COUNT(H16:O16)</f>
        <v/>
      </c>
      <c r="Q16" s="60">
        <f>IF(P16=0,"",COUNTIF(H16:O16,"&gt;=4")/P16)</f>
        <v/>
      </c>
      <c r="R16" s="60">
        <f>IF(P16=0,"",COUNTIF(H16:O16,"&lt;=2")/P16)</f>
        <v/>
      </c>
      <c r="S16" s="57">
        <f>IF(P16=0,"",MEDIAN(H16:O16))</f>
        <v/>
      </c>
      <c r="T16" s="57">
        <f>IF(G16&lt;&gt;"Round 2",G16,IF(P16=0,"Awaiting Round 2",IF(Q16&gt;=0.8,"Include",IF(R16&gt;=0.8,"Exclude","No consensus"))))</f>
        <v/>
      </c>
      <c r="U16" s="57" t="inlineStr"/>
    </row>
    <row r="17">
      <c r="A17" s="57" t="inlineStr">
        <is>
          <t>Carotid artery angioplasty and stenting (CAS)</t>
        </is>
      </c>
      <c r="B17" s="57" t="inlineStr">
        <is>
          <t>Disabling/fatal stroke</t>
        </is>
      </c>
      <c r="C17" s="57" t="inlineStr">
        <is>
          <t>Core candidate</t>
        </is>
      </c>
      <c r="D17" s="60">
        <f>'Delphi Round 1'!O17</f>
        <v/>
      </c>
      <c r="E17" s="60">
        <f>'Delphi Round 1'!P17</f>
        <v/>
      </c>
      <c r="F17" s="57">
        <f>'Delphi Round 1'!Q17</f>
        <v/>
      </c>
      <c r="G17" s="57">
        <f>'Delphi Round 1'!R17</f>
        <v/>
      </c>
      <c r="H17" s="57" t="inlineStr"/>
      <c r="I17" s="57" t="inlineStr"/>
      <c r="J17" s="57" t="inlineStr"/>
      <c r="K17" s="57" t="inlineStr"/>
      <c r="L17" s="57" t="inlineStr"/>
      <c r="M17" s="57" t="inlineStr"/>
      <c r="N17" s="57" t="inlineStr"/>
      <c r="O17" s="57" t="inlineStr"/>
      <c r="P17" s="57">
        <f>COUNT(H17:O17)</f>
        <v/>
      </c>
      <c r="Q17" s="60">
        <f>IF(P17=0,"",COUNTIF(H17:O17,"&gt;=4")/P17)</f>
        <v/>
      </c>
      <c r="R17" s="60">
        <f>IF(P17=0,"",COUNTIF(H17:O17,"&lt;=2")/P17)</f>
        <v/>
      </c>
      <c r="S17" s="57">
        <f>IF(P17=0,"",MEDIAN(H17:O17))</f>
        <v/>
      </c>
      <c r="T17" s="57">
        <f>IF(G17&lt;&gt;"Round 2",G17,IF(P17=0,"Awaiting Round 2",IF(Q17&gt;=0.8,"Include",IF(R17&gt;=0.8,"Exclude","No consensus"))))</f>
        <v/>
      </c>
      <c r="U17" s="57" t="inlineStr"/>
    </row>
    <row r="18">
      <c r="A18" s="57" t="inlineStr">
        <is>
          <t>Carotid artery angioplasty and stenting (CAS)</t>
        </is>
      </c>
      <c r="B18" s="57" t="inlineStr">
        <is>
          <t>hyperperfusion syndrome/intracranial haemorrhage</t>
        </is>
      </c>
      <c r="C18" s="57" t="inlineStr">
        <is>
          <t>Core candidate</t>
        </is>
      </c>
      <c r="D18" s="60">
        <f>'Delphi Round 1'!O18</f>
        <v/>
      </c>
      <c r="E18" s="60">
        <f>'Delphi Round 1'!P18</f>
        <v/>
      </c>
      <c r="F18" s="57">
        <f>'Delphi Round 1'!Q18</f>
        <v/>
      </c>
      <c r="G18" s="57">
        <f>'Delphi Round 1'!R18</f>
        <v/>
      </c>
      <c r="H18" s="57" t="inlineStr"/>
      <c r="I18" s="57" t="inlineStr"/>
      <c r="J18" s="57" t="inlineStr"/>
      <c r="K18" s="57" t="inlineStr"/>
      <c r="L18" s="57" t="inlineStr"/>
      <c r="M18" s="57" t="inlineStr"/>
      <c r="N18" s="57" t="inlineStr"/>
      <c r="O18" s="57" t="inlineStr"/>
      <c r="P18" s="57">
        <f>COUNT(H18:O18)</f>
        <v/>
      </c>
      <c r="Q18" s="60">
        <f>IF(P18=0,"",COUNTIF(H18:O18,"&gt;=4")/P18)</f>
        <v/>
      </c>
      <c r="R18" s="60">
        <f>IF(P18=0,"",COUNTIF(H18:O18,"&lt;=2")/P18)</f>
        <v/>
      </c>
      <c r="S18" s="57">
        <f>IF(P18=0,"",MEDIAN(H18:O18))</f>
        <v/>
      </c>
      <c r="T18" s="57">
        <f>IF(G18&lt;&gt;"Round 2",G18,IF(P18=0,"Awaiting Round 2",IF(Q18&gt;=0.8,"Include",IF(R18&gt;=0.8,"Exclude","No consensus"))))</f>
        <v/>
      </c>
      <c r="U18" s="57" t="inlineStr"/>
    </row>
    <row r="19">
      <c r="A19" s="57" t="inlineStr">
        <is>
          <t>Carotid artery angioplasty and stenting (CAS)</t>
        </is>
      </c>
      <c r="B19" s="57" t="inlineStr">
        <is>
          <t>carotid dissection, perforation, rupture or acute occlusion</t>
        </is>
      </c>
      <c r="C19" s="57" t="inlineStr">
        <is>
          <t>Core candidate</t>
        </is>
      </c>
      <c r="D19" s="60">
        <f>'Delphi Round 1'!O19</f>
        <v/>
      </c>
      <c r="E19" s="60">
        <f>'Delphi Round 1'!P19</f>
        <v/>
      </c>
      <c r="F19" s="57">
        <f>'Delphi Round 1'!Q19</f>
        <v/>
      </c>
      <c r="G19" s="57">
        <f>'Delphi Round 1'!R19</f>
        <v/>
      </c>
      <c r="H19" s="57" t="inlineStr"/>
      <c r="I19" s="57" t="inlineStr"/>
      <c r="J19" s="57" t="inlineStr"/>
      <c r="K19" s="57" t="inlineStr"/>
      <c r="L19" s="57" t="inlineStr"/>
      <c r="M19" s="57" t="inlineStr"/>
      <c r="N19" s="57" t="inlineStr"/>
      <c r="O19" s="57" t="inlineStr"/>
      <c r="P19" s="57">
        <f>COUNT(H19:O19)</f>
        <v/>
      </c>
      <c r="Q19" s="60">
        <f>IF(P19=0,"",COUNTIF(H19:O19,"&gt;=4")/P19)</f>
        <v/>
      </c>
      <c r="R19" s="60">
        <f>IF(P19=0,"",COUNTIF(H19:O19,"&lt;=2")/P19)</f>
        <v/>
      </c>
      <c r="S19" s="57">
        <f>IF(P19=0,"",MEDIAN(H19:O19))</f>
        <v/>
      </c>
      <c r="T19" s="57">
        <f>IF(G19&lt;&gt;"Round 2",G19,IF(P19=0,"Awaiting Round 2",IF(Q19&gt;=0.8,"Include",IF(R19&gt;=0.8,"Exclude","No consensus"))))</f>
        <v/>
      </c>
      <c r="U19" s="57" t="inlineStr"/>
    </row>
    <row r="20">
      <c r="A20" s="57" t="inlineStr">
        <is>
          <t>Carotid artery angioplasty and stenting (CAS)</t>
        </is>
      </c>
      <c r="B20" s="57" t="inlineStr">
        <is>
          <t>Bleeding/haematoma, pseudoaneurysm, arterial injury or occlusion</t>
        </is>
      </c>
      <c r="C20" s="57" t="inlineStr">
        <is>
          <t>Core candidate</t>
        </is>
      </c>
      <c r="D20" s="60">
        <f>'Delphi Round 1'!O20</f>
        <v/>
      </c>
      <c r="E20" s="60">
        <f>'Delphi Round 1'!P20</f>
        <v/>
      </c>
      <c r="F20" s="57">
        <f>'Delphi Round 1'!Q20</f>
        <v/>
      </c>
      <c r="G20" s="57">
        <f>'Delphi Round 1'!R20</f>
        <v/>
      </c>
      <c r="H20" s="57" t="inlineStr"/>
      <c r="I20" s="57" t="inlineStr"/>
      <c r="J20" s="57" t="inlineStr"/>
      <c r="K20" s="57" t="inlineStr"/>
      <c r="L20" s="57" t="inlineStr"/>
      <c r="M20" s="57" t="inlineStr"/>
      <c r="N20" s="57" t="inlineStr"/>
      <c r="O20" s="57" t="inlineStr"/>
      <c r="P20" s="57">
        <f>COUNT(H20:O20)</f>
        <v/>
      </c>
      <c r="Q20" s="60">
        <f>IF(P20=0,"",COUNTIF(H20:O20,"&gt;=4")/P20)</f>
        <v/>
      </c>
      <c r="R20" s="60">
        <f>IF(P20=0,"",COUNTIF(H20:O20,"&lt;=2")/P20)</f>
        <v/>
      </c>
      <c r="S20" s="57">
        <f>IF(P20=0,"",MEDIAN(H20:O20))</f>
        <v/>
      </c>
      <c r="T20" s="57">
        <f>IF(G20&lt;&gt;"Round 2",G20,IF(P20=0,"Awaiting Round 2",IF(Q20&gt;=0.8,"Include",IF(R20&gt;=0.8,"Exclude","No consensus"))))</f>
        <v/>
      </c>
      <c r="U20" s="57" t="inlineStr"/>
    </row>
    <row r="21">
      <c r="A21" s="57" t="inlineStr">
        <is>
          <t>Carotid artery angioplasty and stenting (CAS)</t>
        </is>
      </c>
      <c r="B21" s="57" t="inlineStr">
        <is>
          <t>Contrast reaction/AKI and radiation exposure</t>
        </is>
      </c>
      <c r="C21" s="57" t="inlineStr">
        <is>
          <t>Conditional / patient-specific</t>
        </is>
      </c>
      <c r="D21" s="60">
        <f>'Delphi Round 1'!O21</f>
        <v/>
      </c>
      <c r="E21" s="60">
        <f>'Delphi Round 1'!P21</f>
        <v/>
      </c>
      <c r="F21" s="57">
        <f>'Delphi Round 1'!Q21</f>
        <v/>
      </c>
      <c r="G21" s="57">
        <f>'Delphi Round 1'!R21</f>
        <v/>
      </c>
      <c r="H21" s="57" t="inlineStr"/>
      <c r="I21" s="57" t="inlineStr"/>
      <c r="J21" s="57" t="inlineStr"/>
      <c r="K21" s="57" t="inlineStr"/>
      <c r="L21" s="57" t="inlineStr"/>
      <c r="M21" s="57" t="inlineStr"/>
      <c r="N21" s="57" t="inlineStr"/>
      <c r="O21" s="57" t="inlineStr"/>
      <c r="P21" s="57">
        <f>COUNT(H21:O21)</f>
        <v/>
      </c>
      <c r="Q21" s="60">
        <f>IF(P21=0,"",COUNTIF(H21:O21,"&gt;=4")/P21)</f>
        <v/>
      </c>
      <c r="R21" s="60">
        <f>IF(P21=0,"",COUNTIF(H21:O21,"&lt;=2")/P21)</f>
        <v/>
      </c>
      <c r="S21" s="57">
        <f>IF(P21=0,"",MEDIAN(H21:O21))</f>
        <v/>
      </c>
      <c r="T21" s="57">
        <f>IF(G21&lt;&gt;"Round 2",G21,IF(P21=0,"Awaiting Round 2",IF(Q21&gt;=0.8,"Include",IF(R21&gt;=0.8,"Exclude","No consensus"))))</f>
        <v/>
      </c>
      <c r="U21" s="57" t="inlineStr"/>
    </row>
    <row r="22">
      <c r="A22" s="57" t="inlineStr">
        <is>
          <t>Carotid artery angioplasty and stenting (CAS)</t>
        </is>
      </c>
      <c r="B22" s="57" t="inlineStr">
        <is>
          <t>sedation if used</t>
        </is>
      </c>
      <c r="C22" s="57" t="inlineStr">
        <is>
          <t>Conditional / patient-specific</t>
        </is>
      </c>
      <c r="D22" s="60">
        <f>'Delphi Round 1'!O22</f>
        <v/>
      </c>
      <c r="E22" s="60">
        <f>'Delphi Round 1'!P22</f>
        <v/>
      </c>
      <c r="F22" s="57">
        <f>'Delphi Round 1'!Q22</f>
        <v/>
      </c>
      <c r="G22" s="57">
        <f>'Delphi Round 1'!R22</f>
        <v/>
      </c>
      <c r="H22" s="57" t="inlineStr"/>
      <c r="I22" s="57" t="inlineStr"/>
      <c r="J22" s="57" t="inlineStr"/>
      <c r="K22" s="57" t="inlineStr"/>
      <c r="L22" s="57" t="inlineStr"/>
      <c r="M22" s="57" t="inlineStr"/>
      <c r="N22" s="57" t="inlineStr"/>
      <c r="O22" s="57" t="inlineStr"/>
      <c r="P22" s="57">
        <f>COUNT(H22:O22)</f>
        <v/>
      </c>
      <c r="Q22" s="60">
        <f>IF(P22=0,"",COUNTIF(H22:O22,"&gt;=4")/P22)</f>
        <v/>
      </c>
      <c r="R22" s="60">
        <f>IF(P22=0,"",COUNTIF(H22:O22,"&lt;=2")/P22)</f>
        <v/>
      </c>
      <c r="S22" s="57">
        <f>IF(P22=0,"",MEDIAN(H22:O22))</f>
        <v/>
      </c>
      <c r="T22" s="57">
        <f>IF(G22&lt;&gt;"Round 2",G22,IF(P22=0,"Awaiting Round 2",IF(Q22&gt;=0.8,"Include",IF(R22&gt;=0.8,"Exclude","No consensus"))))</f>
        <v/>
      </c>
      <c r="U22" s="57" t="inlineStr"/>
    </row>
    <row r="23">
      <c r="A23" s="57" t="inlineStr">
        <is>
          <t>Carotid artery angioplasty and stenting (CAS)</t>
        </is>
      </c>
      <c r="B23" s="57" t="inlineStr">
        <is>
          <t>Symptomatic status, access route, anatomy, age, comorbidity, antiplatelet plan</t>
        </is>
      </c>
      <c r="C23" s="57" t="inlineStr">
        <is>
          <t>Conditional / patient-specific</t>
        </is>
      </c>
      <c r="D23" s="60">
        <f>'Delphi Round 1'!O23</f>
        <v/>
      </c>
      <c r="E23" s="60">
        <f>'Delphi Round 1'!P23</f>
        <v/>
      </c>
      <c r="F23" s="57">
        <f>'Delphi Round 1'!Q23</f>
        <v/>
      </c>
      <c r="G23" s="57">
        <f>'Delphi Round 1'!R23</f>
        <v/>
      </c>
      <c r="H23" s="57" t="inlineStr"/>
      <c r="I23" s="57" t="inlineStr"/>
      <c r="J23" s="57" t="inlineStr"/>
      <c r="K23" s="57" t="inlineStr"/>
      <c r="L23" s="57" t="inlineStr"/>
      <c r="M23" s="57" t="inlineStr"/>
      <c r="N23" s="57" t="inlineStr"/>
      <c r="O23" s="57" t="inlineStr"/>
      <c r="P23" s="57">
        <f>COUNT(H23:O23)</f>
        <v/>
      </c>
      <c r="Q23" s="60">
        <f>IF(P23=0,"",COUNTIF(H23:O23,"&gt;=4")/P23)</f>
        <v/>
      </c>
      <c r="R23" s="60">
        <f>IF(P23=0,"",COUNTIF(H23:O23,"&lt;=2")/P23)</f>
        <v/>
      </c>
      <c r="S23" s="57">
        <f>IF(P23=0,"",MEDIAN(H23:O23))</f>
        <v/>
      </c>
      <c r="T23" s="57">
        <f>IF(G23&lt;&gt;"Round 2",G23,IF(P23=0,"Awaiting Round 2",IF(Q23&gt;=0.8,"Include",IF(R23&gt;=0.8,"Exclude","No consensus"))))</f>
        <v/>
      </c>
      <c r="U23" s="57" t="inlineStr"/>
    </row>
    <row r="24">
      <c r="A24" s="57" t="inlineStr">
        <is>
          <t>Diagnostic angiography</t>
        </is>
      </c>
      <c r="B24" s="57" t="inlineStr">
        <is>
          <t>Access-site pain/bruising/haematoma</t>
        </is>
      </c>
      <c r="C24" s="57" t="inlineStr">
        <is>
          <t>Core candidate</t>
        </is>
      </c>
      <c r="D24" s="60">
        <f>'Delphi Round 1'!O24</f>
        <v/>
      </c>
      <c r="E24" s="60">
        <f>'Delphi Round 1'!P24</f>
        <v/>
      </c>
      <c r="F24" s="57">
        <f>'Delphi Round 1'!Q24</f>
        <v/>
      </c>
      <c r="G24" s="57">
        <f>'Delphi Round 1'!R24</f>
        <v/>
      </c>
      <c r="H24" s="57" t="inlineStr"/>
      <c r="I24" s="57" t="inlineStr"/>
      <c r="J24" s="57" t="inlineStr"/>
      <c r="K24" s="57" t="inlineStr"/>
      <c r="L24" s="57" t="inlineStr"/>
      <c r="M24" s="57" t="inlineStr"/>
      <c r="N24" s="57" t="inlineStr"/>
      <c r="O24" s="57" t="inlineStr"/>
      <c r="P24" s="57">
        <f>COUNT(H24:O24)</f>
        <v/>
      </c>
      <c r="Q24" s="60">
        <f>IF(P24=0,"",COUNTIF(H24:O24,"&gt;=4")/P24)</f>
        <v/>
      </c>
      <c r="R24" s="60">
        <f>IF(P24=0,"",COUNTIF(H24:O24,"&lt;=2")/P24)</f>
        <v/>
      </c>
      <c r="S24" s="57">
        <f>IF(P24=0,"",MEDIAN(H24:O24))</f>
        <v/>
      </c>
      <c r="T24" s="57">
        <f>IF(G24&lt;&gt;"Round 2",G24,IF(P24=0,"Awaiting Round 2",IF(Q24&gt;=0.8,"Include",IF(R24&gt;=0.8,"Exclude","No consensus"))))</f>
        <v/>
      </c>
      <c r="U24" s="57" t="inlineStr"/>
    </row>
    <row r="25">
      <c r="A25" s="57" t="inlineStr">
        <is>
          <t>Diagnostic angiography</t>
        </is>
      </c>
      <c r="B25" s="57" t="inlineStr">
        <is>
          <t>Arterial injury/dissection, thrombosis/occlusion, distal embolisation, pseudoaneurysm or AV fistula</t>
        </is>
      </c>
      <c r="C25" s="57" t="inlineStr">
        <is>
          <t>Core candidate</t>
        </is>
      </c>
      <c r="D25" s="60">
        <f>'Delphi Round 1'!O25</f>
        <v/>
      </c>
      <c r="E25" s="60">
        <f>'Delphi Round 1'!P25</f>
        <v/>
      </c>
      <c r="F25" s="57">
        <f>'Delphi Round 1'!Q25</f>
        <v/>
      </c>
      <c r="G25" s="57">
        <f>'Delphi Round 1'!R25</f>
        <v/>
      </c>
      <c r="H25" s="57" t="inlineStr"/>
      <c r="I25" s="57" t="inlineStr"/>
      <c r="J25" s="57" t="inlineStr"/>
      <c r="K25" s="57" t="inlineStr"/>
      <c r="L25" s="57" t="inlineStr"/>
      <c r="M25" s="57" t="inlineStr"/>
      <c r="N25" s="57" t="inlineStr"/>
      <c r="O25" s="57" t="inlineStr"/>
      <c r="P25" s="57">
        <f>COUNT(H25:O25)</f>
        <v/>
      </c>
      <c r="Q25" s="60">
        <f>IF(P25=0,"",COUNTIF(H25:O25,"&gt;=4")/P25)</f>
        <v/>
      </c>
      <c r="R25" s="60">
        <f>IF(P25=0,"",COUNTIF(H25:O25,"&lt;=2")/P25)</f>
        <v/>
      </c>
      <c r="S25" s="57">
        <f>IF(P25=0,"",MEDIAN(H25:O25))</f>
        <v/>
      </c>
      <c r="T25" s="57">
        <f>IF(G25&lt;&gt;"Round 2",G25,IF(P25=0,"Awaiting Round 2",IF(Q25&gt;=0.8,"Include",IF(R25&gt;=0.8,"Exclude","No consensus"))))</f>
        <v/>
      </c>
      <c r="U25" s="57" t="inlineStr"/>
    </row>
    <row r="26">
      <c r="A26" s="57" t="inlineStr">
        <is>
          <t>Diagnostic angiography</t>
        </is>
      </c>
      <c r="B26" s="57" t="inlineStr">
        <is>
          <t>Perforation/rupture</t>
        </is>
      </c>
      <c r="C26" s="57" t="inlineStr">
        <is>
          <t>Core candidate</t>
        </is>
      </c>
      <c r="D26" s="60">
        <f>'Delphi Round 1'!O26</f>
        <v/>
      </c>
      <c r="E26" s="60">
        <f>'Delphi Round 1'!P26</f>
        <v/>
      </c>
      <c r="F26" s="57">
        <f>'Delphi Round 1'!Q26</f>
        <v/>
      </c>
      <c r="G26" s="57">
        <f>'Delphi Round 1'!R26</f>
        <v/>
      </c>
      <c r="H26" s="57" t="inlineStr"/>
      <c r="I26" s="57" t="inlineStr"/>
      <c r="J26" s="57" t="inlineStr"/>
      <c r="K26" s="57" t="inlineStr"/>
      <c r="L26" s="57" t="inlineStr"/>
      <c r="M26" s="57" t="inlineStr"/>
      <c r="N26" s="57" t="inlineStr"/>
      <c r="O26" s="57" t="inlineStr"/>
      <c r="P26" s="57">
        <f>COUNT(H26:O26)</f>
        <v/>
      </c>
      <c r="Q26" s="60">
        <f>IF(P26=0,"",COUNTIF(H26:O26,"&gt;=4")/P26)</f>
        <v/>
      </c>
      <c r="R26" s="60">
        <f>IF(P26=0,"",COUNTIF(H26:O26,"&lt;=2")/P26)</f>
        <v/>
      </c>
      <c r="S26" s="57">
        <f>IF(P26=0,"",MEDIAN(H26:O26))</f>
        <v/>
      </c>
      <c r="T26" s="57">
        <f>IF(G26&lt;&gt;"Round 2",G26,IF(P26=0,"Awaiting Round 2",IF(Q26&gt;=0.8,"Include",IF(R26&gt;=0.8,"Exclude","No consensus"))))</f>
        <v/>
      </c>
      <c r="U26" s="57" t="inlineStr"/>
    </row>
    <row r="27">
      <c r="A27" s="57" t="inlineStr">
        <is>
          <t>Diagnostic angiography</t>
        </is>
      </c>
      <c r="B27" s="57" t="inlineStr">
        <is>
          <t>territory-specific ischaemic injury</t>
        </is>
      </c>
      <c r="C27" s="57" t="inlineStr">
        <is>
          <t>Core candidate</t>
        </is>
      </c>
      <c r="D27" s="60">
        <f>'Delphi Round 1'!O27</f>
        <v/>
      </c>
      <c r="E27" s="60">
        <f>'Delphi Round 1'!P27</f>
        <v/>
      </c>
      <c r="F27" s="57">
        <f>'Delphi Round 1'!Q27</f>
        <v/>
      </c>
      <c r="G27" s="57">
        <f>'Delphi Round 1'!R27</f>
        <v/>
      </c>
      <c r="H27" s="57" t="inlineStr"/>
      <c r="I27" s="57" t="inlineStr"/>
      <c r="J27" s="57" t="inlineStr"/>
      <c r="K27" s="57" t="inlineStr"/>
      <c r="L27" s="57" t="inlineStr"/>
      <c r="M27" s="57" t="inlineStr"/>
      <c r="N27" s="57" t="inlineStr"/>
      <c r="O27" s="57" t="inlineStr"/>
      <c r="P27" s="57">
        <f>COUNT(H27:O27)</f>
        <v/>
      </c>
      <c r="Q27" s="60">
        <f>IF(P27=0,"",COUNTIF(H27:O27,"&gt;=4")/P27)</f>
        <v/>
      </c>
      <c r="R27" s="60">
        <f>IF(P27=0,"",COUNTIF(H27:O27,"&lt;=2")/P27)</f>
        <v/>
      </c>
      <c r="S27" s="57">
        <f>IF(P27=0,"",MEDIAN(H27:O27))</f>
        <v/>
      </c>
      <c r="T27" s="57">
        <f>IF(G27&lt;&gt;"Round 2",G27,IF(P27=0,"Awaiting Round 2",IF(Q27&gt;=0.8,"Include",IF(R27&gt;=0.8,"Exclude","No consensus"))))</f>
        <v/>
      </c>
      <c r="U27" s="57" t="inlineStr"/>
    </row>
    <row r="28">
      <c r="A28" s="57" t="inlineStr">
        <is>
          <t>Diagnostic angiography</t>
        </is>
      </c>
      <c r="B28" s="57" t="inlineStr">
        <is>
          <t>stroke only if cerebral/supra-aortic catheterisation or relevant context</t>
        </is>
      </c>
      <c r="C28" s="57" t="inlineStr">
        <is>
          <t>Core candidate</t>
        </is>
      </c>
      <c r="D28" s="60">
        <f>'Delphi Round 1'!O28</f>
        <v/>
      </c>
      <c r="E28" s="60">
        <f>'Delphi Round 1'!P28</f>
        <v/>
      </c>
      <c r="F28" s="57">
        <f>'Delphi Round 1'!Q28</f>
        <v/>
      </c>
      <c r="G28" s="57">
        <f>'Delphi Round 1'!R28</f>
        <v/>
      </c>
      <c r="H28" s="57" t="inlineStr"/>
      <c r="I28" s="57" t="inlineStr"/>
      <c r="J28" s="57" t="inlineStr"/>
      <c r="K28" s="57" t="inlineStr"/>
      <c r="L28" s="57" t="inlineStr"/>
      <c r="M28" s="57" t="inlineStr"/>
      <c r="N28" s="57" t="inlineStr"/>
      <c r="O28" s="57" t="inlineStr"/>
      <c r="P28" s="57">
        <f>COUNT(H28:O28)</f>
        <v/>
      </c>
      <c r="Q28" s="60">
        <f>IF(P28=0,"",COUNTIF(H28:O28,"&gt;=4")/P28)</f>
        <v/>
      </c>
      <c r="R28" s="60">
        <f>IF(P28=0,"",COUNTIF(H28:O28,"&lt;=2")/P28)</f>
        <v/>
      </c>
      <c r="S28" s="57">
        <f>IF(P28=0,"",MEDIAN(H28:O28))</f>
        <v/>
      </c>
      <c r="T28" s="57">
        <f>IF(G28&lt;&gt;"Round 2",G28,IF(P28=0,"Awaiting Round 2",IF(Q28&gt;=0.8,"Include",IF(R28&gt;=0.8,"Exclude","No consensus"))))</f>
        <v/>
      </c>
      <c r="U28" s="57" t="inlineStr"/>
    </row>
    <row r="29">
      <c r="A29" s="57" t="inlineStr">
        <is>
          <t>Diagnostic angiography</t>
        </is>
      </c>
      <c r="B29" s="57" t="inlineStr">
        <is>
          <t>Bleeding/haematoma, pseudoaneurysm, AV fistula, arterial injury/occlusion</t>
        </is>
      </c>
      <c r="C29" s="57" t="inlineStr">
        <is>
          <t>Core candidate</t>
        </is>
      </c>
      <c r="D29" s="60">
        <f>'Delphi Round 1'!O29</f>
        <v/>
      </c>
      <c r="E29" s="60">
        <f>'Delphi Round 1'!P29</f>
        <v/>
      </c>
      <c r="F29" s="57">
        <f>'Delphi Round 1'!Q29</f>
        <v/>
      </c>
      <c r="G29" s="57">
        <f>'Delphi Round 1'!R29</f>
        <v/>
      </c>
      <c r="H29" s="57" t="inlineStr"/>
      <c r="I29" s="57" t="inlineStr"/>
      <c r="J29" s="57" t="inlineStr"/>
      <c r="K29" s="57" t="inlineStr"/>
      <c r="L29" s="57" t="inlineStr"/>
      <c r="M29" s="57" t="inlineStr"/>
      <c r="N29" s="57" t="inlineStr"/>
      <c r="O29" s="57" t="inlineStr"/>
      <c r="P29" s="57">
        <f>COUNT(H29:O29)</f>
        <v/>
      </c>
      <c r="Q29" s="60">
        <f>IF(P29=0,"",COUNTIF(H29:O29,"&gt;=4")/P29)</f>
        <v/>
      </c>
      <c r="R29" s="60">
        <f>IF(P29=0,"",COUNTIF(H29:O29,"&lt;=2")/P29)</f>
        <v/>
      </c>
      <c r="S29" s="57">
        <f>IF(P29=0,"",MEDIAN(H29:O29))</f>
        <v/>
      </c>
      <c r="T29" s="57">
        <f>IF(G29&lt;&gt;"Round 2",G29,IF(P29=0,"Awaiting Round 2",IF(Q29&gt;=0.8,"Include",IF(R29&gt;=0.8,"Exclude","No consensus"))))</f>
        <v/>
      </c>
      <c r="U29" s="57" t="inlineStr"/>
    </row>
    <row r="30">
      <c r="A30" s="57" t="inlineStr">
        <is>
          <t>Diagnostic angiography</t>
        </is>
      </c>
      <c r="B30" s="57" t="inlineStr">
        <is>
          <t>Contrast reaction/AKI</t>
        </is>
      </c>
      <c r="C30" s="57" t="inlineStr">
        <is>
          <t>Conditional / patient-specific</t>
        </is>
      </c>
      <c r="D30" s="60">
        <f>'Delphi Round 1'!O30</f>
        <v/>
      </c>
      <c r="E30" s="60">
        <f>'Delphi Round 1'!P30</f>
        <v/>
      </c>
      <c r="F30" s="57">
        <f>'Delphi Round 1'!Q30</f>
        <v/>
      </c>
      <c r="G30" s="57">
        <f>'Delphi Round 1'!R30</f>
        <v/>
      </c>
      <c r="H30" s="57" t="inlineStr"/>
      <c r="I30" s="57" t="inlineStr"/>
      <c r="J30" s="57" t="inlineStr"/>
      <c r="K30" s="57" t="inlineStr"/>
      <c r="L30" s="57" t="inlineStr"/>
      <c r="M30" s="57" t="inlineStr"/>
      <c r="N30" s="57" t="inlineStr"/>
      <c r="O30" s="57" t="inlineStr"/>
      <c r="P30" s="57">
        <f>COUNT(H30:O30)</f>
        <v/>
      </c>
      <c r="Q30" s="60">
        <f>IF(P30=0,"",COUNTIF(H30:O30,"&gt;=4")/P30)</f>
        <v/>
      </c>
      <c r="R30" s="60">
        <f>IF(P30=0,"",COUNTIF(H30:O30,"&lt;=2")/P30)</f>
        <v/>
      </c>
      <c r="S30" s="57">
        <f>IF(P30=0,"",MEDIAN(H30:O30))</f>
        <v/>
      </c>
      <c r="T30" s="57">
        <f>IF(G30&lt;&gt;"Round 2",G30,IF(P30=0,"Awaiting Round 2",IF(Q30&gt;=0.8,"Include",IF(R30&gt;=0.8,"Exclude","No consensus"))))</f>
        <v/>
      </c>
      <c r="U30" s="57" t="inlineStr"/>
    </row>
    <row r="31">
      <c r="A31" s="57" t="inlineStr">
        <is>
          <t>Diagnostic angiography</t>
        </is>
      </c>
      <c r="B31" s="57" t="inlineStr">
        <is>
          <t>radiation exposure</t>
        </is>
      </c>
      <c r="C31" s="57" t="inlineStr">
        <is>
          <t>Conditional / patient-specific</t>
        </is>
      </c>
      <c r="D31" s="60">
        <f>'Delphi Round 1'!O31</f>
        <v/>
      </c>
      <c r="E31" s="60">
        <f>'Delphi Round 1'!P31</f>
        <v/>
      </c>
      <c r="F31" s="57">
        <f>'Delphi Round 1'!Q31</f>
        <v/>
      </c>
      <c r="G31" s="57">
        <f>'Delphi Round 1'!R31</f>
        <v/>
      </c>
      <c r="H31" s="57" t="inlineStr"/>
      <c r="I31" s="57" t="inlineStr"/>
      <c r="J31" s="57" t="inlineStr"/>
      <c r="K31" s="57" t="inlineStr"/>
      <c r="L31" s="57" t="inlineStr"/>
      <c r="M31" s="57" t="inlineStr"/>
      <c r="N31" s="57" t="inlineStr"/>
      <c r="O31" s="57" t="inlineStr"/>
      <c r="P31" s="57">
        <f>COUNT(H31:O31)</f>
        <v/>
      </c>
      <c r="Q31" s="60">
        <f>IF(P31=0,"",COUNTIF(H31:O31,"&gt;=4")/P31)</f>
        <v/>
      </c>
      <c r="R31" s="60">
        <f>IF(P31=0,"",COUNTIF(H31:O31,"&lt;=2")/P31)</f>
        <v/>
      </c>
      <c r="S31" s="57">
        <f>IF(P31=0,"",MEDIAN(H31:O31))</f>
        <v/>
      </c>
      <c r="T31" s="57">
        <f>IF(G31&lt;&gt;"Round 2",G31,IF(P31=0,"Awaiting Round 2",IF(Q31&gt;=0.8,"Include",IF(R31&gt;=0.8,"Exclude","No consensus"))))</f>
        <v/>
      </c>
      <c r="U31" s="57" t="inlineStr"/>
    </row>
    <row r="32">
      <c r="A32" s="57" t="inlineStr">
        <is>
          <t>Diagnostic angiography</t>
        </is>
      </c>
      <c r="B32" s="57" t="inlineStr">
        <is>
          <t>sedation if used</t>
        </is>
      </c>
      <c r="C32" s="57" t="inlineStr">
        <is>
          <t>Conditional / patient-specific</t>
        </is>
      </c>
      <c r="D32" s="60">
        <f>'Delphi Round 1'!O32</f>
        <v/>
      </c>
      <c r="E32" s="60">
        <f>'Delphi Round 1'!P32</f>
        <v/>
      </c>
      <c r="F32" s="57">
        <f>'Delphi Round 1'!Q32</f>
        <v/>
      </c>
      <c r="G32" s="57">
        <f>'Delphi Round 1'!R32</f>
        <v/>
      </c>
      <c r="H32" s="57" t="inlineStr"/>
      <c r="I32" s="57" t="inlineStr"/>
      <c r="J32" s="57" t="inlineStr"/>
      <c r="K32" s="57" t="inlineStr"/>
      <c r="L32" s="57" t="inlineStr"/>
      <c r="M32" s="57" t="inlineStr"/>
      <c r="N32" s="57" t="inlineStr"/>
      <c r="O32" s="57" t="inlineStr"/>
      <c r="P32" s="57">
        <f>COUNT(H32:O32)</f>
        <v/>
      </c>
      <c r="Q32" s="60">
        <f>IF(P32=0,"",COUNTIF(H32:O32,"&gt;=4")/P32)</f>
        <v/>
      </c>
      <c r="R32" s="60">
        <f>IF(P32=0,"",COUNTIF(H32:O32,"&lt;=2")/P32)</f>
        <v/>
      </c>
      <c r="S32" s="57">
        <f>IF(P32=0,"",MEDIAN(H32:O32))</f>
        <v/>
      </c>
      <c r="T32" s="57">
        <f>IF(G32&lt;&gt;"Round 2",G32,IF(P32=0,"Awaiting Round 2",IF(Q32&gt;=0.8,"Include",IF(R32&gt;=0.8,"Exclude","No consensus"))))</f>
        <v/>
      </c>
      <c r="U32" s="57" t="inlineStr"/>
    </row>
    <row r="33">
      <c r="A33" s="57" t="inlineStr">
        <is>
          <t>Diagnostic angiography</t>
        </is>
      </c>
      <c r="B33" s="57" t="inlineStr">
        <is>
          <t>Vascular bed, sheath/access site, selective catheterisation, renal function and prior contrast reaction</t>
        </is>
      </c>
      <c r="C33" s="57" t="inlineStr">
        <is>
          <t>Conditional / patient-specific</t>
        </is>
      </c>
      <c r="D33" s="60">
        <f>'Delphi Round 1'!O33</f>
        <v/>
      </c>
      <c r="E33" s="60">
        <f>'Delphi Round 1'!P33</f>
        <v/>
      </c>
      <c r="F33" s="57">
        <f>'Delphi Round 1'!Q33</f>
        <v/>
      </c>
      <c r="G33" s="57">
        <f>'Delphi Round 1'!R33</f>
        <v/>
      </c>
      <c r="H33" s="57" t="inlineStr"/>
      <c r="I33" s="57" t="inlineStr"/>
      <c r="J33" s="57" t="inlineStr"/>
      <c r="K33" s="57" t="inlineStr"/>
      <c r="L33" s="57" t="inlineStr"/>
      <c r="M33" s="57" t="inlineStr"/>
      <c r="N33" s="57" t="inlineStr"/>
      <c r="O33" s="57" t="inlineStr"/>
      <c r="P33" s="57">
        <f>COUNT(H33:O33)</f>
        <v/>
      </c>
      <c r="Q33" s="60">
        <f>IF(P33=0,"",COUNTIF(H33:O33,"&gt;=4")/P33)</f>
        <v/>
      </c>
      <c r="R33" s="60">
        <f>IF(P33=0,"",COUNTIF(H33:O33,"&lt;=2")/P33)</f>
        <v/>
      </c>
      <c r="S33" s="57">
        <f>IF(P33=0,"",MEDIAN(H33:O33))</f>
        <v/>
      </c>
      <c r="T33" s="57">
        <f>IF(G33&lt;&gt;"Round 2",G33,IF(P33=0,"Awaiting Round 2",IF(Q33&gt;=0.8,"Include",IF(R33&gt;=0.8,"Exclude","No consensus"))))</f>
        <v/>
      </c>
      <c r="U33" s="57" t="inlineStr"/>
    </row>
    <row r="34">
      <c r="A34" s="57" t="inlineStr">
        <is>
          <t>Endovascular aneurysm repair (EVAR)</t>
        </is>
      </c>
      <c r="B34" s="57" t="inlineStr">
        <is>
          <t>Access-site bruising/bleeding</t>
        </is>
      </c>
      <c r="C34" s="57" t="inlineStr">
        <is>
          <t>Core candidate</t>
        </is>
      </c>
      <c r="D34" s="60">
        <f>'Delphi Round 1'!O34</f>
        <v/>
      </c>
      <c r="E34" s="60">
        <f>'Delphi Round 1'!P34</f>
        <v/>
      </c>
      <c r="F34" s="57">
        <f>'Delphi Round 1'!Q34</f>
        <v/>
      </c>
      <c r="G34" s="57">
        <f>'Delphi Round 1'!R34</f>
        <v/>
      </c>
      <c r="H34" s="57" t="inlineStr"/>
      <c r="I34" s="57" t="inlineStr"/>
      <c r="J34" s="57" t="inlineStr"/>
      <c r="K34" s="57" t="inlineStr"/>
      <c r="L34" s="57" t="inlineStr"/>
      <c r="M34" s="57" t="inlineStr"/>
      <c r="N34" s="57" t="inlineStr"/>
      <c r="O34" s="57" t="inlineStr"/>
      <c r="P34" s="57">
        <f>COUNT(H34:O34)</f>
        <v/>
      </c>
      <c r="Q34" s="60">
        <f>IF(P34=0,"",COUNTIF(H34:O34,"&gt;=4")/P34)</f>
        <v/>
      </c>
      <c r="R34" s="60">
        <f>IF(P34=0,"",COUNTIF(H34:O34,"&lt;=2")/P34)</f>
        <v/>
      </c>
      <c r="S34" s="57">
        <f>IF(P34=0,"",MEDIAN(H34:O34))</f>
        <v/>
      </c>
      <c r="T34" s="57">
        <f>IF(G34&lt;&gt;"Round 2",G34,IF(P34=0,"Awaiting Round 2",IF(Q34&gt;=0.8,"Include",IF(R34&gt;=0.8,"Exclude","No consensus"))))</f>
        <v/>
      </c>
      <c r="U34" s="57" t="inlineStr"/>
    </row>
    <row r="35">
      <c r="A35" s="57" t="inlineStr">
        <is>
          <t>Endovascular aneurysm repair (EVAR)</t>
        </is>
      </c>
      <c r="B35" s="57" t="inlineStr">
        <is>
          <t>possible technical failure or further treatment</t>
        </is>
      </c>
      <c r="C35" s="57" t="inlineStr">
        <is>
          <t>Core candidate</t>
        </is>
      </c>
      <c r="D35" s="60">
        <f>'Delphi Round 1'!O35</f>
        <v/>
      </c>
      <c r="E35" s="60">
        <f>'Delphi Round 1'!P35</f>
        <v/>
      </c>
      <c r="F35" s="57">
        <f>'Delphi Round 1'!Q35</f>
        <v/>
      </c>
      <c r="G35" s="57">
        <f>'Delphi Round 1'!R35</f>
        <v/>
      </c>
      <c r="H35" s="57" t="inlineStr"/>
      <c r="I35" s="57" t="inlineStr"/>
      <c r="J35" s="57" t="inlineStr"/>
      <c r="K35" s="57" t="inlineStr"/>
      <c r="L35" s="57" t="inlineStr"/>
      <c r="M35" s="57" t="inlineStr"/>
      <c r="N35" s="57" t="inlineStr"/>
      <c r="O35" s="57" t="inlineStr"/>
      <c r="P35" s="57">
        <f>COUNT(H35:O35)</f>
        <v/>
      </c>
      <c r="Q35" s="60">
        <f>IF(P35=0,"",COUNTIF(H35:O35,"&gt;=4")/P35)</f>
        <v/>
      </c>
      <c r="R35" s="60">
        <f>IF(P35=0,"",COUNTIF(H35:O35,"&lt;=2")/P35)</f>
        <v/>
      </c>
      <c r="S35" s="57">
        <f>IF(P35=0,"",MEDIAN(H35:O35))</f>
        <v/>
      </c>
      <c r="T35" s="57">
        <f>IF(G35&lt;&gt;"Round 2",G35,IF(P35=0,"Awaiting Round 2",IF(Q35&gt;=0.8,"Include",IF(R35&gt;=0.8,"Exclude","No consensus"))))</f>
        <v/>
      </c>
      <c r="U35" s="57" t="inlineStr"/>
    </row>
    <row r="36">
      <c r="A36" s="57" t="inlineStr">
        <is>
          <t>Endovascular aneurysm repair (EVAR)</t>
        </is>
      </c>
      <c r="B36" s="57" t="inlineStr">
        <is>
          <t>Endoleak, endograft limb thrombosis/occlusion, migration/kinking, renal or limb ischaemia</t>
        </is>
      </c>
      <c r="C36" s="57" t="inlineStr">
        <is>
          <t>Core candidate</t>
        </is>
      </c>
      <c r="D36" s="60">
        <f>'Delphi Round 1'!O36</f>
        <v/>
      </c>
      <c r="E36" s="60">
        <f>'Delphi Round 1'!P36</f>
        <v/>
      </c>
      <c r="F36" s="57">
        <f>'Delphi Round 1'!Q36</f>
        <v/>
      </c>
      <c r="G36" s="57">
        <f>'Delphi Round 1'!R36</f>
        <v/>
      </c>
      <c r="H36" s="57" t="inlineStr"/>
      <c r="I36" s="57" t="inlineStr"/>
      <c r="J36" s="57" t="inlineStr"/>
      <c r="K36" s="57" t="inlineStr"/>
      <c r="L36" s="57" t="inlineStr"/>
      <c r="M36" s="57" t="inlineStr"/>
      <c r="N36" s="57" t="inlineStr"/>
      <c r="O36" s="57" t="inlineStr"/>
      <c r="P36" s="57">
        <f>COUNT(H36:O36)</f>
        <v/>
      </c>
      <c r="Q36" s="60">
        <f>IF(P36=0,"",COUNTIF(H36:O36,"&gt;=4")/P36)</f>
        <v/>
      </c>
      <c r="R36" s="60">
        <f>IF(P36=0,"",COUNTIF(H36:O36,"&lt;=2")/P36)</f>
        <v/>
      </c>
      <c r="S36" s="57">
        <f>IF(P36=0,"",MEDIAN(H36:O36))</f>
        <v/>
      </c>
      <c r="T36" s="57">
        <f>IF(G36&lt;&gt;"Round 2",G36,IF(P36=0,"Awaiting Round 2",IF(Q36&gt;=0.8,"Include",IF(R36&gt;=0.8,"Exclude","No consensus"))))</f>
        <v/>
      </c>
      <c r="U36" s="57" t="inlineStr"/>
    </row>
    <row r="37">
      <c r="A37" s="57" t="inlineStr">
        <is>
          <t>Endovascular aneurysm repair (EVAR)</t>
        </is>
      </c>
      <c r="B37" s="57" t="inlineStr">
        <is>
          <t>Aneurysm enlargement/rupture</t>
        </is>
      </c>
      <c r="C37" s="57" t="inlineStr">
        <is>
          <t>Core candidate</t>
        </is>
      </c>
      <c r="D37" s="60">
        <f>'Delphi Round 1'!O37</f>
        <v/>
      </c>
      <c r="E37" s="60">
        <f>'Delphi Round 1'!P37</f>
        <v/>
      </c>
      <c r="F37" s="57">
        <f>'Delphi Round 1'!Q37</f>
        <v/>
      </c>
      <c r="G37" s="57">
        <f>'Delphi Round 1'!R37</f>
        <v/>
      </c>
      <c r="H37" s="57" t="inlineStr"/>
      <c r="I37" s="57" t="inlineStr"/>
      <c r="J37" s="57" t="inlineStr"/>
      <c r="K37" s="57" t="inlineStr"/>
      <c r="L37" s="57" t="inlineStr"/>
      <c r="M37" s="57" t="inlineStr"/>
      <c r="N37" s="57" t="inlineStr"/>
      <c r="O37" s="57" t="inlineStr"/>
      <c r="P37" s="57">
        <f>COUNT(H37:O37)</f>
        <v/>
      </c>
      <c r="Q37" s="60">
        <f>IF(P37=0,"",COUNTIF(H37:O37,"&gt;=4")/P37)</f>
        <v/>
      </c>
      <c r="R37" s="60">
        <f>IF(P37=0,"",COUNTIF(H37:O37,"&lt;=2")/P37)</f>
        <v/>
      </c>
      <c r="S37" s="57">
        <f>IF(P37=0,"",MEDIAN(H37:O37))</f>
        <v/>
      </c>
      <c r="T37" s="57">
        <f>IF(G37&lt;&gt;"Round 2",G37,IF(P37=0,"Awaiting Round 2",IF(Q37&gt;=0.8,"Include",IF(R37&gt;=0.8,"Exclude","No consensus"))))</f>
        <v/>
      </c>
      <c r="U37" s="57" t="inlineStr"/>
    </row>
    <row r="38">
      <c r="A38" s="57" t="inlineStr">
        <is>
          <t>Endovascular aneurysm repair (EVAR)</t>
        </is>
      </c>
      <c r="B38" s="57" t="inlineStr">
        <is>
          <t>graft infection/failure</t>
        </is>
      </c>
      <c r="C38" s="57" t="inlineStr">
        <is>
          <t>Core candidate</t>
        </is>
      </c>
      <c r="D38" s="60">
        <f>'Delphi Round 1'!O38</f>
        <v/>
      </c>
      <c r="E38" s="60">
        <f>'Delphi Round 1'!P38</f>
        <v/>
      </c>
      <c r="F38" s="57">
        <f>'Delphi Round 1'!Q38</f>
        <v/>
      </c>
      <c r="G38" s="57">
        <f>'Delphi Round 1'!R38</f>
        <v/>
      </c>
      <c r="H38" s="57" t="inlineStr"/>
      <c r="I38" s="57" t="inlineStr"/>
      <c r="J38" s="57" t="inlineStr"/>
      <c r="K38" s="57" t="inlineStr"/>
      <c r="L38" s="57" t="inlineStr"/>
      <c r="M38" s="57" t="inlineStr"/>
      <c r="N38" s="57" t="inlineStr"/>
      <c r="O38" s="57" t="inlineStr"/>
      <c r="P38" s="57">
        <f>COUNT(H38:O38)</f>
        <v/>
      </c>
      <c r="Q38" s="60">
        <f>IF(P38=0,"",COUNTIF(H38:O38,"&gt;=4")/P38)</f>
        <v/>
      </c>
      <c r="R38" s="60">
        <f>IF(P38=0,"",COUNTIF(H38:O38,"&lt;=2")/P38)</f>
        <v/>
      </c>
      <c r="S38" s="57">
        <f>IF(P38=0,"",MEDIAN(H38:O38))</f>
        <v/>
      </c>
      <c r="T38" s="57">
        <f>IF(G38&lt;&gt;"Round 2",G38,IF(P38=0,"Awaiting Round 2",IF(Q38&gt;=0.8,"Include",IF(R38&gt;=0.8,"Exclude","No consensus"))))</f>
        <v/>
      </c>
      <c r="U38" s="57" t="inlineStr"/>
    </row>
    <row r="39">
      <c r="A39" s="57" t="inlineStr">
        <is>
          <t>Endovascular aneurysm repair (EVAR)</t>
        </is>
      </c>
      <c r="B39" s="57" t="inlineStr">
        <is>
          <t>bowel/pelvic/spinal ischaemia</t>
        </is>
      </c>
      <c r="C39" s="57" t="inlineStr">
        <is>
          <t>Core candidate</t>
        </is>
      </c>
      <c r="D39" s="60">
        <f>'Delphi Round 1'!O39</f>
        <v/>
      </c>
      <c r="E39" s="60">
        <f>'Delphi Round 1'!P39</f>
        <v/>
      </c>
      <c r="F39" s="57">
        <f>'Delphi Round 1'!Q39</f>
        <v/>
      </c>
      <c r="G39" s="57">
        <f>'Delphi Round 1'!R39</f>
        <v/>
      </c>
      <c r="H39" s="57" t="inlineStr"/>
      <c r="I39" s="57" t="inlineStr"/>
      <c r="J39" s="57" t="inlineStr"/>
      <c r="K39" s="57" t="inlineStr"/>
      <c r="L39" s="57" t="inlineStr"/>
      <c r="M39" s="57" t="inlineStr"/>
      <c r="N39" s="57" t="inlineStr"/>
      <c r="O39" s="57" t="inlineStr"/>
      <c r="P39" s="57">
        <f>COUNT(H39:O39)</f>
        <v/>
      </c>
      <c r="Q39" s="60">
        <f>IF(P39=0,"",COUNTIF(H39:O39,"&gt;=4")/P39)</f>
        <v/>
      </c>
      <c r="R39" s="60">
        <f>IF(P39=0,"",COUNTIF(H39:O39,"&lt;=2")/P39)</f>
        <v/>
      </c>
      <c r="S39" s="57">
        <f>IF(P39=0,"",MEDIAN(H39:O39))</f>
        <v/>
      </c>
      <c r="T39" s="57">
        <f>IF(G39&lt;&gt;"Round 2",G39,IF(P39=0,"Awaiting Round 2",IF(Q39&gt;=0.8,"Include",IF(R39&gt;=0.8,"Exclude","No consensus"))))</f>
        <v/>
      </c>
      <c r="U39" s="57" t="inlineStr"/>
    </row>
    <row r="40">
      <c r="A40" s="57" t="inlineStr">
        <is>
          <t>Endovascular aneurysm repair (EVAR)</t>
        </is>
      </c>
      <c r="B40" s="57" t="inlineStr">
        <is>
          <t>conversion, reintervention or death</t>
        </is>
      </c>
      <c r="C40" s="57" t="inlineStr">
        <is>
          <t>Core candidate</t>
        </is>
      </c>
      <c r="D40" s="60">
        <f>'Delphi Round 1'!O40</f>
        <v/>
      </c>
      <c r="E40" s="60">
        <f>'Delphi Round 1'!P40</f>
        <v/>
      </c>
      <c r="F40" s="57">
        <f>'Delphi Round 1'!Q40</f>
        <v/>
      </c>
      <c r="G40" s="57">
        <f>'Delphi Round 1'!R40</f>
        <v/>
      </c>
      <c r="H40" s="57" t="inlineStr"/>
      <c r="I40" s="57" t="inlineStr"/>
      <c r="J40" s="57" t="inlineStr"/>
      <c r="K40" s="57" t="inlineStr"/>
      <c r="L40" s="57" t="inlineStr"/>
      <c r="M40" s="57" t="inlineStr"/>
      <c r="N40" s="57" t="inlineStr"/>
      <c r="O40" s="57" t="inlineStr"/>
      <c r="P40" s="57">
        <f>COUNT(H40:O40)</f>
        <v/>
      </c>
      <c r="Q40" s="60">
        <f>IF(P40=0,"",COUNTIF(H40:O40,"&gt;=4")/P40)</f>
        <v/>
      </c>
      <c r="R40" s="60">
        <f>IF(P40=0,"",COUNTIF(H40:O40,"&lt;=2")/P40)</f>
        <v/>
      </c>
      <c r="S40" s="57">
        <f>IF(P40=0,"",MEDIAN(H40:O40))</f>
        <v/>
      </c>
      <c r="T40" s="57">
        <f>IF(G40&lt;&gt;"Round 2",G40,IF(P40=0,"Awaiting Round 2",IF(Q40&gt;=0.8,"Include",IF(R40&gt;=0.8,"Exclude","No consensus"))))</f>
        <v/>
      </c>
      <c r="U40" s="57" t="inlineStr"/>
    </row>
    <row r="41">
      <c r="A41" s="57" t="inlineStr">
        <is>
          <t>Endovascular aneurysm repair (EVAR)</t>
        </is>
      </c>
      <c r="B41" s="57" t="inlineStr">
        <is>
          <t>Iliac/femoral injury, dissection, rupture, bleeding or limb ischaemia</t>
        </is>
      </c>
      <c r="C41" s="57" t="inlineStr">
        <is>
          <t>Core candidate</t>
        </is>
      </c>
      <c r="D41" s="60">
        <f>'Delphi Round 1'!O41</f>
        <v/>
      </c>
      <c r="E41" s="60">
        <f>'Delphi Round 1'!P41</f>
        <v/>
      </c>
      <c r="F41" s="57">
        <f>'Delphi Round 1'!Q41</f>
        <v/>
      </c>
      <c r="G41" s="57">
        <f>'Delphi Round 1'!R41</f>
        <v/>
      </c>
      <c r="H41" s="57" t="inlineStr"/>
      <c r="I41" s="57" t="inlineStr"/>
      <c r="J41" s="57" t="inlineStr"/>
      <c r="K41" s="57" t="inlineStr"/>
      <c r="L41" s="57" t="inlineStr"/>
      <c r="M41" s="57" t="inlineStr"/>
      <c r="N41" s="57" t="inlineStr"/>
      <c r="O41" s="57" t="inlineStr"/>
      <c r="P41" s="57">
        <f>COUNT(H41:O41)</f>
        <v/>
      </c>
      <c r="Q41" s="60">
        <f>IF(P41=0,"",COUNTIF(H41:O41,"&gt;=4")/P41)</f>
        <v/>
      </c>
      <c r="R41" s="60">
        <f>IF(P41=0,"",COUNTIF(H41:O41,"&lt;=2")/P41)</f>
        <v/>
      </c>
      <c r="S41" s="57">
        <f>IF(P41=0,"",MEDIAN(H41:O41))</f>
        <v/>
      </c>
      <c r="T41" s="57">
        <f>IF(G41&lt;&gt;"Round 2",G41,IF(P41=0,"Awaiting Round 2",IF(Q41&gt;=0.8,"Include",IF(R41&gt;=0.8,"Exclude","No consensus"))))</f>
        <v/>
      </c>
      <c r="U41" s="57" t="inlineStr"/>
    </row>
    <row r="42">
      <c r="A42" s="57" t="inlineStr">
        <is>
          <t>Endovascular aneurysm repair (EVAR)</t>
        </is>
      </c>
      <c r="B42" s="57" t="inlineStr">
        <is>
          <t>Contrast reaction/AKI and radiation exposure</t>
        </is>
      </c>
      <c r="C42" s="57" t="inlineStr">
        <is>
          <t>Conditional / patient-specific</t>
        </is>
      </c>
      <c r="D42" s="60">
        <f>'Delphi Round 1'!O42</f>
        <v/>
      </c>
      <c r="E42" s="60">
        <f>'Delphi Round 1'!P42</f>
        <v/>
      </c>
      <c r="F42" s="57">
        <f>'Delphi Round 1'!Q42</f>
        <v/>
      </c>
      <c r="G42" s="57">
        <f>'Delphi Round 1'!R42</f>
        <v/>
      </c>
      <c r="H42" s="57" t="inlineStr"/>
      <c r="I42" s="57" t="inlineStr"/>
      <c r="J42" s="57" t="inlineStr"/>
      <c r="K42" s="57" t="inlineStr"/>
      <c r="L42" s="57" t="inlineStr"/>
      <c r="M42" s="57" t="inlineStr"/>
      <c r="N42" s="57" t="inlineStr"/>
      <c r="O42" s="57" t="inlineStr"/>
      <c r="P42" s="57">
        <f>COUNT(H42:O42)</f>
        <v/>
      </c>
      <c r="Q42" s="60">
        <f>IF(P42=0,"",COUNTIF(H42:O42,"&gt;=4")/P42)</f>
        <v/>
      </c>
      <c r="R42" s="60">
        <f>IF(P42=0,"",COUNTIF(H42:O42,"&lt;=2")/P42)</f>
        <v/>
      </c>
      <c r="S42" s="57">
        <f>IF(P42=0,"",MEDIAN(H42:O42))</f>
        <v/>
      </c>
      <c r="T42" s="57">
        <f>IF(G42&lt;&gt;"Round 2",G42,IF(P42=0,"Awaiting Round 2",IF(Q42&gt;=0.8,"Include",IF(R42&gt;=0.8,"Exclude","No consensus"))))</f>
        <v/>
      </c>
      <c r="U42" s="57" t="inlineStr"/>
    </row>
    <row r="43">
      <c r="A43" s="57" t="inlineStr">
        <is>
          <t>Endovascular aneurysm repair (EVAR)</t>
        </is>
      </c>
      <c r="B43" s="57" t="inlineStr">
        <is>
          <t>Aneurysm anatomy, device/landing zones, complex repair, access vessels, coverage and patient risk</t>
        </is>
      </c>
      <c r="C43" s="57" t="inlineStr">
        <is>
          <t>Conditional / patient-specific</t>
        </is>
      </c>
      <c r="D43" s="60">
        <f>'Delphi Round 1'!O43</f>
        <v/>
      </c>
      <c r="E43" s="60">
        <f>'Delphi Round 1'!P43</f>
        <v/>
      </c>
      <c r="F43" s="57">
        <f>'Delphi Round 1'!Q43</f>
        <v/>
      </c>
      <c r="G43" s="57">
        <f>'Delphi Round 1'!R43</f>
        <v/>
      </c>
      <c r="H43" s="57" t="inlineStr"/>
      <c r="I43" s="57" t="inlineStr"/>
      <c r="J43" s="57" t="inlineStr"/>
      <c r="K43" s="57" t="inlineStr"/>
      <c r="L43" s="57" t="inlineStr"/>
      <c r="M43" s="57" t="inlineStr"/>
      <c r="N43" s="57" t="inlineStr"/>
      <c r="O43" s="57" t="inlineStr"/>
      <c r="P43" s="57">
        <f>COUNT(H43:O43)</f>
        <v/>
      </c>
      <c r="Q43" s="60">
        <f>IF(P43=0,"",COUNTIF(H43:O43,"&gt;=4")/P43)</f>
        <v/>
      </c>
      <c r="R43" s="60">
        <f>IF(P43=0,"",COUNTIF(H43:O43,"&lt;=2")/P43)</f>
        <v/>
      </c>
      <c r="S43" s="57">
        <f>IF(P43=0,"",MEDIAN(H43:O43))</f>
        <v/>
      </c>
      <c r="T43" s="57">
        <f>IF(G43&lt;&gt;"Round 2",G43,IF(P43=0,"Awaiting Round 2",IF(Q43&gt;=0.8,"Include",IF(R43&gt;=0.8,"Exclude","No consensus"))))</f>
        <v/>
      </c>
      <c r="U43" s="57" t="inlineStr"/>
    </row>
    <row r="44">
      <c r="A44" s="57" t="inlineStr">
        <is>
          <t>Gastrointestinal bleeding embolisation</t>
        </is>
      </c>
      <c r="B44" s="57" t="inlineStr">
        <is>
          <t>Persistent/recurrent bleeding</t>
        </is>
      </c>
      <c r="C44" s="57" t="inlineStr">
        <is>
          <t>Core candidate</t>
        </is>
      </c>
      <c r="D44" s="60">
        <f>'Delphi Round 1'!O44</f>
        <v/>
      </c>
      <c r="E44" s="60">
        <f>'Delphi Round 1'!P44</f>
        <v/>
      </c>
      <c r="F44" s="57">
        <f>'Delphi Round 1'!Q44</f>
        <v/>
      </c>
      <c r="G44" s="57">
        <f>'Delphi Round 1'!R44</f>
        <v/>
      </c>
      <c r="H44" s="57" t="inlineStr"/>
      <c r="I44" s="57" t="inlineStr"/>
      <c r="J44" s="57" t="inlineStr"/>
      <c r="K44" s="57" t="inlineStr"/>
      <c r="L44" s="57" t="inlineStr"/>
      <c r="M44" s="57" t="inlineStr"/>
      <c r="N44" s="57" t="inlineStr"/>
      <c r="O44" s="57" t="inlineStr"/>
      <c r="P44" s="57">
        <f>COUNT(H44:O44)</f>
        <v/>
      </c>
      <c r="Q44" s="60">
        <f>IF(P44=0,"",COUNTIF(H44:O44,"&gt;=4")/P44)</f>
        <v/>
      </c>
      <c r="R44" s="60">
        <f>IF(P44=0,"",COUNTIF(H44:O44,"&lt;=2")/P44)</f>
        <v/>
      </c>
      <c r="S44" s="57">
        <f>IF(P44=0,"",MEDIAN(H44:O44))</f>
        <v/>
      </c>
      <c r="T44" s="57">
        <f>IF(G44&lt;&gt;"Round 2",G44,IF(P44=0,"Awaiting Round 2",IF(Q44&gt;=0.8,"Include",IF(R44&gt;=0.8,"Exclude","No consensus"))))</f>
        <v/>
      </c>
      <c r="U44" s="57" t="inlineStr"/>
    </row>
    <row r="45">
      <c r="A45" s="57" t="inlineStr">
        <is>
          <t>Gastrointestinal bleeding embolisation</t>
        </is>
      </c>
      <c r="B45" s="57" t="inlineStr">
        <is>
          <t>access bruising/bleeding</t>
        </is>
      </c>
      <c r="C45" s="57" t="inlineStr">
        <is>
          <t>Core candidate</t>
        </is>
      </c>
      <c r="D45" s="60">
        <f>'Delphi Round 1'!O45</f>
        <v/>
      </c>
      <c r="E45" s="60">
        <f>'Delphi Round 1'!P45</f>
        <v/>
      </c>
      <c r="F45" s="57">
        <f>'Delphi Round 1'!Q45</f>
        <v/>
      </c>
      <c r="G45" s="57">
        <f>'Delphi Round 1'!R45</f>
        <v/>
      </c>
      <c r="H45" s="57" t="inlineStr"/>
      <c r="I45" s="57" t="inlineStr"/>
      <c r="J45" s="57" t="inlineStr"/>
      <c r="K45" s="57" t="inlineStr"/>
      <c r="L45" s="57" t="inlineStr"/>
      <c r="M45" s="57" t="inlineStr"/>
      <c r="N45" s="57" t="inlineStr"/>
      <c r="O45" s="57" t="inlineStr"/>
      <c r="P45" s="57">
        <f>COUNT(H45:O45)</f>
        <v/>
      </c>
      <c r="Q45" s="60">
        <f>IF(P45=0,"",COUNTIF(H45:O45,"&gt;=4")/P45)</f>
        <v/>
      </c>
      <c r="R45" s="60">
        <f>IF(P45=0,"",COUNTIF(H45:O45,"&lt;=2")/P45)</f>
        <v/>
      </c>
      <c r="S45" s="57">
        <f>IF(P45=0,"",MEDIAN(H45:O45))</f>
        <v/>
      </c>
      <c r="T45" s="57">
        <f>IF(G45&lt;&gt;"Round 2",G45,IF(P45=0,"Awaiting Round 2",IF(Q45&gt;=0.8,"Include",IF(R45&gt;=0.8,"Exclude","No consensus"))))</f>
        <v/>
      </c>
      <c r="U45" s="57" t="inlineStr"/>
    </row>
    <row r="46">
      <c r="A46" s="57" t="inlineStr">
        <is>
          <t>Gastrointestinal bleeding embolisation</t>
        </is>
      </c>
      <c r="B46" s="57" t="inlineStr">
        <is>
          <t>Repeat embolisation, endoscopy or surgery</t>
        </is>
      </c>
      <c r="C46" s="57" t="inlineStr">
        <is>
          <t>Core candidate</t>
        </is>
      </c>
      <c r="D46" s="60">
        <f>'Delphi Round 1'!O46</f>
        <v/>
      </c>
      <c r="E46" s="60">
        <f>'Delphi Round 1'!P46</f>
        <v/>
      </c>
      <c r="F46" s="57">
        <f>'Delphi Round 1'!Q46</f>
        <v/>
      </c>
      <c r="G46" s="57">
        <f>'Delphi Round 1'!R46</f>
        <v/>
      </c>
      <c r="H46" s="57" t="inlineStr"/>
      <c r="I46" s="57" t="inlineStr"/>
      <c r="J46" s="57" t="inlineStr"/>
      <c r="K46" s="57" t="inlineStr"/>
      <c r="L46" s="57" t="inlineStr"/>
      <c r="M46" s="57" t="inlineStr"/>
      <c r="N46" s="57" t="inlineStr"/>
      <c r="O46" s="57" t="inlineStr"/>
      <c r="P46" s="57">
        <f>COUNT(H46:O46)</f>
        <v/>
      </c>
      <c r="Q46" s="60">
        <f>IF(P46=0,"",COUNTIF(H46:O46,"&gt;=4")/P46)</f>
        <v/>
      </c>
      <c r="R46" s="60">
        <f>IF(P46=0,"",COUNTIF(H46:O46,"&lt;=2")/P46)</f>
        <v/>
      </c>
      <c r="S46" s="57">
        <f>IF(P46=0,"",MEDIAN(H46:O46))</f>
        <v/>
      </c>
      <c r="T46" s="57">
        <f>IF(G46&lt;&gt;"Round 2",G46,IF(P46=0,"Awaiting Round 2",IF(Q46&gt;=0.8,"Include",IF(R46&gt;=0.8,"Exclude","No consensus"))))</f>
        <v/>
      </c>
      <c r="U46" s="57" t="inlineStr"/>
    </row>
    <row r="47">
      <c r="A47" s="57" t="inlineStr">
        <is>
          <t>Gastrointestinal bleeding embolisation</t>
        </is>
      </c>
      <c r="B47" s="57" t="inlineStr">
        <is>
          <t>bowel ischaemia</t>
        </is>
      </c>
      <c r="C47" s="57" t="inlineStr">
        <is>
          <t>Core candidate</t>
        </is>
      </c>
      <c r="D47" s="60">
        <f>'Delphi Round 1'!O47</f>
        <v/>
      </c>
      <c r="E47" s="60">
        <f>'Delphi Round 1'!P47</f>
        <v/>
      </c>
      <c r="F47" s="57">
        <f>'Delphi Round 1'!Q47</f>
        <v/>
      </c>
      <c r="G47" s="57">
        <f>'Delphi Round 1'!R47</f>
        <v/>
      </c>
      <c r="H47" s="57" t="inlineStr"/>
      <c r="I47" s="57" t="inlineStr"/>
      <c r="J47" s="57" t="inlineStr"/>
      <c r="K47" s="57" t="inlineStr"/>
      <c r="L47" s="57" t="inlineStr"/>
      <c r="M47" s="57" t="inlineStr"/>
      <c r="N47" s="57" t="inlineStr"/>
      <c r="O47" s="57" t="inlineStr"/>
      <c r="P47" s="57">
        <f>COUNT(H47:O47)</f>
        <v/>
      </c>
      <c r="Q47" s="60">
        <f>IF(P47=0,"",COUNTIF(H47:O47,"&gt;=4")/P47)</f>
        <v/>
      </c>
      <c r="R47" s="60">
        <f>IF(P47=0,"",COUNTIF(H47:O47,"&lt;=2")/P47)</f>
        <v/>
      </c>
      <c r="S47" s="57">
        <f>IF(P47=0,"",MEDIAN(H47:O47))</f>
        <v/>
      </c>
      <c r="T47" s="57">
        <f>IF(G47&lt;&gt;"Round 2",G47,IF(P47=0,"Awaiting Round 2",IF(Q47&gt;=0.8,"Include",IF(R47&gt;=0.8,"Exclude","No consensus"))))</f>
        <v/>
      </c>
      <c r="U47" s="57" t="inlineStr"/>
    </row>
    <row r="48">
      <c r="A48" s="57" t="inlineStr">
        <is>
          <t>Gastrointestinal bleeding embolisation</t>
        </is>
      </c>
      <c r="B48" s="57" t="inlineStr">
        <is>
          <t>Bowel infarction/necrosis, perforation or later stricture due to non-target or extensive embolisation</t>
        </is>
      </c>
      <c r="C48" s="57" t="inlineStr">
        <is>
          <t>Core candidate</t>
        </is>
      </c>
      <c r="D48" s="60">
        <f>'Delphi Round 1'!O48</f>
        <v/>
      </c>
      <c r="E48" s="60">
        <f>'Delphi Round 1'!P48</f>
        <v/>
      </c>
      <c r="F48" s="57">
        <f>'Delphi Round 1'!Q48</f>
        <v/>
      </c>
      <c r="G48" s="57">
        <f>'Delphi Round 1'!R48</f>
        <v/>
      </c>
      <c r="H48" s="57" t="inlineStr"/>
      <c r="I48" s="57" t="inlineStr"/>
      <c r="J48" s="57" t="inlineStr"/>
      <c r="K48" s="57" t="inlineStr"/>
      <c r="L48" s="57" t="inlineStr"/>
      <c r="M48" s="57" t="inlineStr"/>
      <c r="N48" s="57" t="inlineStr"/>
      <c r="O48" s="57" t="inlineStr"/>
      <c r="P48" s="57">
        <f>COUNT(H48:O48)</f>
        <v/>
      </c>
      <c r="Q48" s="60">
        <f>IF(P48=0,"",COUNTIF(H48:O48,"&gt;=4")/P48)</f>
        <v/>
      </c>
      <c r="R48" s="60">
        <f>IF(P48=0,"",COUNTIF(H48:O48,"&lt;=2")/P48)</f>
        <v/>
      </c>
      <c r="S48" s="57">
        <f>IF(P48=0,"",MEDIAN(H48:O48))</f>
        <v/>
      </c>
      <c r="T48" s="57">
        <f>IF(G48&lt;&gt;"Round 2",G48,IF(P48=0,"Awaiting Round 2",IF(Q48&gt;=0.8,"Include",IF(R48&gt;=0.8,"Exclude","No consensus"))))</f>
        <v/>
      </c>
      <c r="U48" s="57" t="inlineStr"/>
    </row>
    <row r="49">
      <c r="A49" s="57" t="inlineStr">
        <is>
          <t>Gastrointestinal bleeding embolisation</t>
        </is>
      </c>
      <c r="B49" s="57" t="inlineStr">
        <is>
          <t>Arterial access bleeding/haematoma</t>
        </is>
      </c>
      <c r="C49" s="57" t="inlineStr">
        <is>
          <t>Core candidate</t>
        </is>
      </c>
      <c r="D49" s="60">
        <f>'Delphi Round 1'!O49</f>
        <v/>
      </c>
      <c r="E49" s="60">
        <f>'Delphi Round 1'!P49</f>
        <v/>
      </c>
      <c r="F49" s="57">
        <f>'Delphi Round 1'!Q49</f>
        <v/>
      </c>
      <c r="G49" s="57">
        <f>'Delphi Round 1'!R49</f>
        <v/>
      </c>
      <c r="H49" s="57" t="inlineStr"/>
      <c r="I49" s="57" t="inlineStr"/>
      <c r="J49" s="57" t="inlineStr"/>
      <c r="K49" s="57" t="inlineStr"/>
      <c r="L49" s="57" t="inlineStr"/>
      <c r="M49" s="57" t="inlineStr"/>
      <c r="N49" s="57" t="inlineStr"/>
      <c r="O49" s="57" t="inlineStr"/>
      <c r="P49" s="57">
        <f>COUNT(H49:O49)</f>
        <v/>
      </c>
      <c r="Q49" s="60">
        <f>IF(P49=0,"",COUNTIF(H49:O49,"&gt;=4")/P49)</f>
        <v/>
      </c>
      <c r="R49" s="60">
        <f>IF(P49=0,"",COUNTIF(H49:O49,"&lt;=2")/P49)</f>
        <v/>
      </c>
      <c r="S49" s="57">
        <f>IF(P49=0,"",MEDIAN(H49:O49))</f>
        <v/>
      </c>
      <c r="T49" s="57">
        <f>IF(G49&lt;&gt;"Round 2",G49,IF(P49=0,"Awaiting Round 2",IF(Q49&gt;=0.8,"Include",IF(R49&gt;=0.8,"Exclude","No consensus"))))</f>
        <v/>
      </c>
      <c r="U49" s="57" t="inlineStr"/>
    </row>
    <row r="50">
      <c r="A50" s="57" t="inlineStr">
        <is>
          <t>Gastrointestinal bleeding embolisation</t>
        </is>
      </c>
      <c r="B50" s="57" t="inlineStr">
        <is>
          <t>vessel injury</t>
        </is>
      </c>
      <c r="C50" s="57" t="inlineStr">
        <is>
          <t>Core candidate</t>
        </is>
      </c>
      <c r="D50" s="60">
        <f>'Delphi Round 1'!O50</f>
        <v/>
      </c>
      <c r="E50" s="60">
        <f>'Delphi Round 1'!P50</f>
        <v/>
      </c>
      <c r="F50" s="57">
        <f>'Delphi Round 1'!Q50</f>
        <v/>
      </c>
      <c r="G50" s="57">
        <f>'Delphi Round 1'!R50</f>
        <v/>
      </c>
      <c r="H50" s="57" t="inlineStr"/>
      <c r="I50" s="57" t="inlineStr"/>
      <c r="J50" s="57" t="inlineStr"/>
      <c r="K50" s="57" t="inlineStr"/>
      <c r="L50" s="57" t="inlineStr"/>
      <c r="M50" s="57" t="inlineStr"/>
      <c r="N50" s="57" t="inlineStr"/>
      <c r="O50" s="57" t="inlineStr"/>
      <c r="P50" s="57">
        <f>COUNT(H50:O50)</f>
        <v/>
      </c>
      <c r="Q50" s="60">
        <f>IF(P50=0,"",COUNTIF(H50:O50,"&gt;=4")/P50)</f>
        <v/>
      </c>
      <c r="R50" s="60">
        <f>IF(P50=0,"",COUNTIF(H50:O50,"&lt;=2")/P50)</f>
        <v/>
      </c>
      <c r="S50" s="57">
        <f>IF(P50=0,"",MEDIAN(H50:O50))</f>
        <v/>
      </c>
      <c r="T50" s="57">
        <f>IF(G50&lt;&gt;"Round 2",G50,IF(P50=0,"Awaiting Round 2",IF(Q50&gt;=0.8,"Include",IF(R50&gt;=0.8,"Exclude","No consensus"))))</f>
        <v/>
      </c>
      <c r="U50" s="57" t="inlineStr"/>
    </row>
    <row r="51">
      <c r="A51" s="57" t="inlineStr">
        <is>
          <t>Gastrointestinal bleeding embolisation</t>
        </is>
      </c>
      <c r="B51" s="57" t="inlineStr">
        <is>
          <t>Contrast reaction/AKI</t>
        </is>
      </c>
      <c r="C51" s="57" t="inlineStr">
        <is>
          <t>Conditional / patient-specific</t>
        </is>
      </c>
      <c r="D51" s="60">
        <f>'Delphi Round 1'!O51</f>
        <v/>
      </c>
      <c r="E51" s="60">
        <f>'Delphi Round 1'!P51</f>
        <v/>
      </c>
      <c r="F51" s="57">
        <f>'Delphi Round 1'!Q51</f>
        <v/>
      </c>
      <c r="G51" s="57">
        <f>'Delphi Round 1'!R51</f>
        <v/>
      </c>
      <c r="H51" s="57" t="inlineStr"/>
      <c r="I51" s="57" t="inlineStr"/>
      <c r="J51" s="57" t="inlineStr"/>
      <c r="K51" s="57" t="inlineStr"/>
      <c r="L51" s="57" t="inlineStr"/>
      <c r="M51" s="57" t="inlineStr"/>
      <c r="N51" s="57" t="inlineStr"/>
      <c r="O51" s="57" t="inlineStr"/>
      <c r="P51" s="57">
        <f>COUNT(H51:O51)</f>
        <v/>
      </c>
      <c r="Q51" s="60">
        <f>IF(P51=0,"",COUNTIF(H51:O51,"&gt;=4")/P51)</f>
        <v/>
      </c>
      <c r="R51" s="60">
        <f>IF(P51=0,"",COUNTIF(H51:O51,"&lt;=2")/P51)</f>
        <v/>
      </c>
      <c r="S51" s="57">
        <f>IF(P51=0,"",MEDIAN(H51:O51))</f>
        <v/>
      </c>
      <c r="T51" s="57">
        <f>IF(G51&lt;&gt;"Round 2",G51,IF(P51=0,"Awaiting Round 2",IF(Q51&gt;=0.8,"Include",IF(R51&gt;=0.8,"Exclude","No consensus"))))</f>
        <v/>
      </c>
      <c r="U51" s="57" t="inlineStr"/>
    </row>
    <row r="52">
      <c r="A52" s="57" t="inlineStr">
        <is>
          <t>Gastrointestinal bleeding embolisation</t>
        </is>
      </c>
      <c r="B52" s="57" t="inlineStr">
        <is>
          <t>radiation exposure</t>
        </is>
      </c>
      <c r="C52" s="57" t="inlineStr">
        <is>
          <t>Conditional / patient-specific</t>
        </is>
      </c>
      <c r="D52" s="60">
        <f>'Delphi Round 1'!O52</f>
        <v/>
      </c>
      <c r="E52" s="60">
        <f>'Delphi Round 1'!P52</f>
        <v/>
      </c>
      <c r="F52" s="57">
        <f>'Delphi Round 1'!Q52</f>
        <v/>
      </c>
      <c r="G52" s="57">
        <f>'Delphi Round 1'!R52</f>
        <v/>
      </c>
      <c r="H52" s="57" t="inlineStr"/>
      <c r="I52" s="57" t="inlineStr"/>
      <c r="J52" s="57" t="inlineStr"/>
      <c r="K52" s="57" t="inlineStr"/>
      <c r="L52" s="57" t="inlineStr"/>
      <c r="M52" s="57" t="inlineStr"/>
      <c r="N52" s="57" t="inlineStr"/>
      <c r="O52" s="57" t="inlineStr"/>
      <c r="P52" s="57">
        <f>COUNT(H52:O52)</f>
        <v/>
      </c>
      <c r="Q52" s="60">
        <f>IF(P52=0,"",COUNTIF(H52:O52,"&gt;=4")/P52)</f>
        <v/>
      </c>
      <c r="R52" s="60">
        <f>IF(P52=0,"",COUNTIF(H52:O52,"&lt;=2")/P52)</f>
        <v/>
      </c>
      <c r="S52" s="57">
        <f>IF(P52=0,"",MEDIAN(H52:O52))</f>
        <v/>
      </c>
      <c r="T52" s="57">
        <f>IF(G52&lt;&gt;"Round 2",G52,IF(P52=0,"Awaiting Round 2",IF(Q52&gt;=0.8,"Include",IF(R52&gt;=0.8,"Exclude","No consensus"))))</f>
        <v/>
      </c>
      <c r="U52" s="57" t="inlineStr"/>
    </row>
    <row r="53">
      <c r="A53" s="57" t="inlineStr">
        <is>
          <t>Gastrointestinal bleeding embolisation</t>
        </is>
      </c>
      <c r="B53" s="57" t="inlineStr">
        <is>
          <t>Bowel territory, collateral supply, prior surgery/radiotherapy and embolic technique</t>
        </is>
      </c>
      <c r="C53" s="57" t="inlineStr">
        <is>
          <t>Conditional / patient-specific</t>
        </is>
      </c>
      <c r="D53" s="60">
        <f>'Delphi Round 1'!O53</f>
        <v/>
      </c>
      <c r="E53" s="60">
        <f>'Delphi Round 1'!P53</f>
        <v/>
      </c>
      <c r="F53" s="57">
        <f>'Delphi Round 1'!Q53</f>
        <v/>
      </c>
      <c r="G53" s="57">
        <f>'Delphi Round 1'!R53</f>
        <v/>
      </c>
      <c r="H53" s="57" t="inlineStr"/>
      <c r="I53" s="57" t="inlineStr"/>
      <c r="J53" s="57" t="inlineStr"/>
      <c r="K53" s="57" t="inlineStr"/>
      <c r="L53" s="57" t="inlineStr"/>
      <c r="M53" s="57" t="inlineStr"/>
      <c r="N53" s="57" t="inlineStr"/>
      <c r="O53" s="57" t="inlineStr"/>
      <c r="P53" s="57">
        <f>COUNT(H53:O53)</f>
        <v/>
      </c>
      <c r="Q53" s="60">
        <f>IF(P53=0,"",COUNTIF(H53:O53,"&gt;=4")/P53)</f>
        <v/>
      </c>
      <c r="R53" s="60">
        <f>IF(P53=0,"",COUNTIF(H53:O53,"&lt;=2")/P53)</f>
        <v/>
      </c>
      <c r="S53" s="57">
        <f>IF(P53=0,"",MEDIAN(H53:O53))</f>
        <v/>
      </c>
      <c r="T53" s="57">
        <f>IF(G53&lt;&gt;"Round 2",G53,IF(P53=0,"Awaiting Round 2",IF(Q53&gt;=0.8,"Include",IF(R53&gt;=0.8,"Exclude","No consensus"))))</f>
        <v/>
      </c>
      <c r="U53" s="57" t="inlineStr"/>
    </row>
    <row r="54">
      <c r="A54" s="57" t="inlineStr">
        <is>
          <t>Pelvic congestion / pelvic vein embolisation</t>
        </is>
      </c>
      <c r="B54" s="57" t="inlineStr">
        <is>
          <t>Pelvic/back pain or post-procedure thrombophlebitic symptoms</t>
        </is>
      </c>
      <c r="C54" s="57" t="inlineStr">
        <is>
          <t>Core candidate</t>
        </is>
      </c>
      <c r="D54" s="60">
        <f>'Delphi Round 1'!O54</f>
        <v/>
      </c>
      <c r="E54" s="60">
        <f>'Delphi Round 1'!P54</f>
        <v/>
      </c>
      <c r="F54" s="57">
        <f>'Delphi Round 1'!Q54</f>
        <v/>
      </c>
      <c r="G54" s="57">
        <f>'Delphi Round 1'!R54</f>
        <v/>
      </c>
      <c r="H54" s="57" t="inlineStr"/>
      <c r="I54" s="57" t="inlineStr"/>
      <c r="J54" s="57" t="inlineStr"/>
      <c r="K54" s="57" t="inlineStr"/>
      <c r="L54" s="57" t="inlineStr"/>
      <c r="M54" s="57" t="inlineStr"/>
      <c r="N54" s="57" t="inlineStr"/>
      <c r="O54" s="57" t="inlineStr"/>
      <c r="P54" s="57">
        <f>COUNT(H54:O54)</f>
        <v/>
      </c>
      <c r="Q54" s="60">
        <f>IF(P54=0,"",COUNTIF(H54:O54,"&gt;=4")/P54)</f>
        <v/>
      </c>
      <c r="R54" s="60">
        <f>IF(P54=0,"",COUNTIF(H54:O54,"&lt;=2")/P54)</f>
        <v/>
      </c>
      <c r="S54" s="57">
        <f>IF(P54=0,"",MEDIAN(H54:O54))</f>
        <v/>
      </c>
      <c r="T54" s="57">
        <f>IF(G54&lt;&gt;"Round 2",G54,IF(P54=0,"Awaiting Round 2",IF(Q54&gt;=0.8,"Include",IF(R54&gt;=0.8,"Exclude","No consensus"))))</f>
        <v/>
      </c>
      <c r="U54" s="57" t="inlineStr"/>
    </row>
    <row r="55">
      <c r="A55" s="57" t="inlineStr">
        <is>
          <t>Pelvic congestion / pelvic vein embolisation</t>
        </is>
      </c>
      <c r="B55" s="57" t="inlineStr">
        <is>
          <t>persistent/recurrent symptoms</t>
        </is>
      </c>
      <c r="C55" s="57" t="inlineStr">
        <is>
          <t>Core candidate</t>
        </is>
      </c>
      <c r="D55" s="60">
        <f>'Delphi Round 1'!O55</f>
        <v/>
      </c>
      <c r="E55" s="60">
        <f>'Delphi Round 1'!P55</f>
        <v/>
      </c>
      <c r="F55" s="57">
        <f>'Delphi Round 1'!Q55</f>
        <v/>
      </c>
      <c r="G55" s="57">
        <f>'Delphi Round 1'!R55</f>
        <v/>
      </c>
      <c r="H55" s="57" t="inlineStr"/>
      <c r="I55" s="57" t="inlineStr"/>
      <c r="J55" s="57" t="inlineStr"/>
      <c r="K55" s="57" t="inlineStr"/>
      <c r="L55" s="57" t="inlineStr"/>
      <c r="M55" s="57" t="inlineStr"/>
      <c r="N55" s="57" t="inlineStr"/>
      <c r="O55" s="57" t="inlineStr"/>
      <c r="P55" s="57">
        <f>COUNT(H55:O55)</f>
        <v/>
      </c>
      <c r="Q55" s="60">
        <f>IF(P55=0,"",COUNTIF(H55:O55,"&gt;=4")/P55)</f>
        <v/>
      </c>
      <c r="R55" s="60">
        <f>IF(P55=0,"",COUNTIF(H55:O55,"&lt;=2")/P55)</f>
        <v/>
      </c>
      <c r="S55" s="57">
        <f>IF(P55=0,"",MEDIAN(H55:O55))</f>
        <v/>
      </c>
      <c r="T55" s="57">
        <f>IF(G55&lt;&gt;"Round 2",G55,IF(P55=0,"Awaiting Round 2",IF(Q55&gt;=0.8,"Include",IF(R55&gt;=0.8,"Exclude","No consensus"))))</f>
        <v/>
      </c>
      <c r="U55" s="57" t="inlineStr"/>
    </row>
    <row r="56">
      <c r="A56" s="57" t="inlineStr">
        <is>
          <t>Pelvic congestion / pelvic vein embolisation</t>
        </is>
      </c>
      <c r="B56" s="57" t="inlineStr">
        <is>
          <t>Venous injury/perforation</t>
        </is>
      </c>
      <c r="C56" s="57" t="inlineStr">
        <is>
          <t>Core candidate</t>
        </is>
      </c>
      <c r="D56" s="60">
        <f>'Delphi Round 1'!O56</f>
        <v/>
      </c>
      <c r="E56" s="60">
        <f>'Delphi Round 1'!P56</f>
        <v/>
      </c>
      <c r="F56" s="57">
        <f>'Delphi Round 1'!Q56</f>
        <v/>
      </c>
      <c r="G56" s="57">
        <f>'Delphi Round 1'!R56</f>
        <v/>
      </c>
      <c r="H56" s="57" t="inlineStr"/>
      <c r="I56" s="57" t="inlineStr"/>
      <c r="J56" s="57" t="inlineStr"/>
      <c r="K56" s="57" t="inlineStr"/>
      <c r="L56" s="57" t="inlineStr"/>
      <c r="M56" s="57" t="inlineStr"/>
      <c r="N56" s="57" t="inlineStr"/>
      <c r="O56" s="57" t="inlineStr"/>
      <c r="P56" s="57">
        <f>COUNT(H56:O56)</f>
        <v/>
      </c>
      <c r="Q56" s="60">
        <f>IF(P56=0,"",COUNTIF(H56:O56,"&gt;=4")/P56)</f>
        <v/>
      </c>
      <c r="R56" s="60">
        <f>IF(P56=0,"",COUNTIF(H56:O56,"&lt;=2")/P56)</f>
        <v/>
      </c>
      <c r="S56" s="57">
        <f>IF(P56=0,"",MEDIAN(H56:O56))</f>
        <v/>
      </c>
      <c r="T56" s="57">
        <f>IF(G56&lt;&gt;"Round 2",G56,IF(P56=0,"Awaiting Round 2",IF(Q56&gt;=0.8,"Include",IF(R56&gt;=0.8,"Exclude","No consensus"))))</f>
        <v/>
      </c>
      <c r="U56" s="57" t="inlineStr"/>
    </row>
    <row r="57">
      <c r="A57" s="57" t="inlineStr">
        <is>
          <t>Pelvic congestion / pelvic vein embolisation</t>
        </is>
      </c>
      <c r="B57" s="57" t="inlineStr">
        <is>
          <t>non-target embolisation</t>
        </is>
      </c>
      <c r="C57" s="57" t="inlineStr">
        <is>
          <t>Core candidate</t>
        </is>
      </c>
      <c r="D57" s="60">
        <f>'Delphi Round 1'!O57</f>
        <v/>
      </c>
      <c r="E57" s="60">
        <f>'Delphi Round 1'!P57</f>
        <v/>
      </c>
      <c r="F57" s="57">
        <f>'Delphi Round 1'!Q57</f>
        <v/>
      </c>
      <c r="G57" s="57">
        <f>'Delphi Round 1'!R57</f>
        <v/>
      </c>
      <c r="H57" s="57" t="inlineStr"/>
      <c r="I57" s="57" t="inlineStr"/>
      <c r="J57" s="57" t="inlineStr"/>
      <c r="K57" s="57" t="inlineStr"/>
      <c r="L57" s="57" t="inlineStr"/>
      <c r="M57" s="57" t="inlineStr"/>
      <c r="N57" s="57" t="inlineStr"/>
      <c r="O57" s="57" t="inlineStr"/>
      <c r="P57" s="57">
        <f>COUNT(H57:O57)</f>
        <v/>
      </c>
      <c r="Q57" s="60">
        <f>IF(P57=0,"",COUNTIF(H57:O57,"&gt;=4")/P57)</f>
        <v/>
      </c>
      <c r="R57" s="60">
        <f>IF(P57=0,"",COUNTIF(H57:O57,"&lt;=2")/P57)</f>
        <v/>
      </c>
      <c r="S57" s="57">
        <f>IF(P57=0,"",MEDIAN(H57:O57))</f>
        <v/>
      </c>
      <c r="T57" s="57">
        <f>IF(G57&lt;&gt;"Round 2",G57,IF(P57=0,"Awaiting Round 2",IF(Q57&gt;=0.8,"Include",IF(R57&gt;=0.8,"Exclude","No consensus"))))</f>
        <v/>
      </c>
      <c r="U57" s="57" t="inlineStr"/>
    </row>
    <row r="58">
      <c r="A58" s="57" t="inlineStr">
        <is>
          <t>Pelvic congestion / pelvic vein embolisation</t>
        </is>
      </c>
      <c r="B58" s="57" t="inlineStr">
        <is>
          <t>repeat treatment</t>
        </is>
      </c>
      <c r="C58" s="57" t="inlineStr">
        <is>
          <t>Core candidate</t>
        </is>
      </c>
      <c r="D58" s="60">
        <f>'Delphi Round 1'!O58</f>
        <v/>
      </c>
      <c r="E58" s="60">
        <f>'Delphi Round 1'!P58</f>
        <v/>
      </c>
      <c r="F58" s="57">
        <f>'Delphi Round 1'!Q58</f>
        <v/>
      </c>
      <c r="G58" s="57">
        <f>'Delphi Round 1'!R58</f>
        <v/>
      </c>
      <c r="H58" s="57" t="inlineStr"/>
      <c r="I58" s="57" t="inlineStr"/>
      <c r="J58" s="57" t="inlineStr"/>
      <c r="K58" s="57" t="inlineStr"/>
      <c r="L58" s="57" t="inlineStr"/>
      <c r="M58" s="57" t="inlineStr"/>
      <c r="N58" s="57" t="inlineStr"/>
      <c r="O58" s="57" t="inlineStr"/>
      <c r="P58" s="57">
        <f>COUNT(H58:O58)</f>
        <v/>
      </c>
      <c r="Q58" s="60">
        <f>IF(P58=0,"",COUNTIF(H58:O58,"&gt;=4")/P58)</f>
        <v/>
      </c>
      <c r="R58" s="60">
        <f>IF(P58=0,"",COUNTIF(H58:O58,"&lt;=2")/P58)</f>
        <v/>
      </c>
      <c r="S58" s="57">
        <f>IF(P58=0,"",MEDIAN(H58:O58))</f>
        <v/>
      </c>
      <c r="T58" s="57">
        <f>IF(G58&lt;&gt;"Round 2",G58,IF(P58=0,"Awaiting Round 2",IF(Q58&gt;=0.8,"Include",IF(R58&gt;=0.8,"Exclude","No consensus"))))</f>
        <v/>
      </c>
      <c r="U58" s="57" t="inlineStr"/>
    </row>
    <row r="59">
      <c r="A59" s="57" t="inlineStr">
        <is>
          <t>Pelvic congestion / pelvic vein embolisation</t>
        </is>
      </c>
      <c r="B59" s="57" t="inlineStr">
        <is>
          <t>Coil/plug/liquid-agent migration, potentially pulmonary</t>
        </is>
      </c>
      <c r="C59" s="57" t="inlineStr">
        <is>
          <t>Core candidate</t>
        </is>
      </c>
      <c r="D59" s="60">
        <f>'Delphi Round 1'!O59</f>
        <v/>
      </c>
      <c r="E59" s="60">
        <f>'Delphi Round 1'!P59</f>
        <v/>
      </c>
      <c r="F59" s="57">
        <f>'Delphi Round 1'!Q59</f>
        <v/>
      </c>
      <c r="G59" s="57">
        <f>'Delphi Round 1'!R59</f>
        <v/>
      </c>
      <c r="H59" s="57" t="inlineStr"/>
      <c r="I59" s="57" t="inlineStr"/>
      <c r="J59" s="57" t="inlineStr"/>
      <c r="K59" s="57" t="inlineStr"/>
      <c r="L59" s="57" t="inlineStr"/>
      <c r="M59" s="57" t="inlineStr"/>
      <c r="N59" s="57" t="inlineStr"/>
      <c r="O59" s="57" t="inlineStr"/>
      <c r="P59" s="57">
        <f>COUNT(H59:O59)</f>
        <v/>
      </c>
      <c r="Q59" s="60">
        <f>IF(P59=0,"",COUNTIF(H59:O59,"&gt;=4")/P59)</f>
        <v/>
      </c>
      <c r="R59" s="60">
        <f>IF(P59=0,"",COUNTIF(H59:O59,"&lt;=2")/P59)</f>
        <v/>
      </c>
      <c r="S59" s="57">
        <f>IF(P59=0,"",MEDIAN(H59:O59))</f>
        <v/>
      </c>
      <c r="T59" s="57">
        <f>IF(G59&lt;&gt;"Round 2",G59,IF(P59=0,"Awaiting Round 2",IF(Q59&gt;=0.8,"Include",IF(R59&gt;=0.8,"Exclude","No consensus"))))</f>
        <v/>
      </c>
      <c r="U59" s="57" t="inlineStr"/>
    </row>
    <row r="60">
      <c r="A60" s="57" t="inlineStr">
        <is>
          <t>Pelvic congestion / pelvic vein embolisation</t>
        </is>
      </c>
      <c r="B60" s="57" t="inlineStr">
        <is>
          <t>severe non-target embolisation</t>
        </is>
      </c>
      <c r="C60" s="57" t="inlineStr">
        <is>
          <t>Core candidate</t>
        </is>
      </c>
      <c r="D60" s="60">
        <f>'Delphi Round 1'!O60</f>
        <v/>
      </c>
      <c r="E60" s="60">
        <f>'Delphi Round 1'!P60</f>
        <v/>
      </c>
      <c r="F60" s="57">
        <f>'Delphi Round 1'!Q60</f>
        <v/>
      </c>
      <c r="G60" s="57">
        <f>'Delphi Round 1'!R60</f>
        <v/>
      </c>
      <c r="H60" s="57" t="inlineStr"/>
      <c r="I60" s="57" t="inlineStr"/>
      <c r="J60" s="57" t="inlineStr"/>
      <c r="K60" s="57" t="inlineStr"/>
      <c r="L60" s="57" t="inlineStr"/>
      <c r="M60" s="57" t="inlineStr"/>
      <c r="N60" s="57" t="inlineStr"/>
      <c r="O60" s="57" t="inlineStr"/>
      <c r="P60" s="57">
        <f>COUNT(H60:O60)</f>
        <v/>
      </c>
      <c r="Q60" s="60">
        <f>IF(P60=0,"",COUNTIF(H60:O60,"&gt;=4")/P60)</f>
        <v/>
      </c>
      <c r="R60" s="60">
        <f>IF(P60=0,"",COUNTIF(H60:O60,"&lt;=2")/P60)</f>
        <v/>
      </c>
      <c r="S60" s="57">
        <f>IF(P60=0,"",MEDIAN(H60:O60))</f>
        <v/>
      </c>
      <c r="T60" s="57">
        <f>IF(G60&lt;&gt;"Round 2",G60,IF(P60=0,"Awaiting Round 2",IF(Q60&gt;=0.8,"Include",IF(R60&gt;=0.8,"Exclude","No consensus"))))</f>
        <v/>
      </c>
      <c r="U60" s="57" t="inlineStr"/>
    </row>
    <row r="61">
      <c r="A61" s="57" t="inlineStr">
        <is>
          <t>Pelvic congestion / pelvic vein embolisation</t>
        </is>
      </c>
      <c r="B61" s="57" t="inlineStr">
        <is>
          <t>Venous access bleeding/haematoma</t>
        </is>
      </c>
      <c r="C61" s="57" t="inlineStr">
        <is>
          <t>Core candidate</t>
        </is>
      </c>
      <c r="D61" s="60">
        <f>'Delphi Round 1'!O61</f>
        <v/>
      </c>
      <c r="E61" s="60">
        <f>'Delphi Round 1'!P61</f>
        <v/>
      </c>
      <c r="F61" s="57">
        <f>'Delphi Round 1'!Q61</f>
        <v/>
      </c>
      <c r="G61" s="57">
        <f>'Delphi Round 1'!R61</f>
        <v/>
      </c>
      <c r="H61" s="57" t="inlineStr"/>
      <c r="I61" s="57" t="inlineStr"/>
      <c r="J61" s="57" t="inlineStr"/>
      <c r="K61" s="57" t="inlineStr"/>
      <c r="L61" s="57" t="inlineStr"/>
      <c r="M61" s="57" t="inlineStr"/>
      <c r="N61" s="57" t="inlineStr"/>
      <c r="O61" s="57" t="inlineStr"/>
      <c r="P61" s="57">
        <f>COUNT(H61:O61)</f>
        <v/>
      </c>
      <c r="Q61" s="60">
        <f>IF(P61=0,"",COUNTIF(H61:O61,"&gt;=4")/P61)</f>
        <v/>
      </c>
      <c r="R61" s="60">
        <f>IF(P61=0,"",COUNTIF(H61:O61,"&lt;=2")/P61)</f>
        <v/>
      </c>
      <c r="S61" s="57">
        <f>IF(P61=0,"",MEDIAN(H61:O61))</f>
        <v/>
      </c>
      <c r="T61" s="57">
        <f>IF(G61&lt;&gt;"Round 2",G61,IF(P61=0,"Awaiting Round 2",IF(Q61&gt;=0.8,"Include",IF(R61&gt;=0.8,"Exclude","No consensus"))))</f>
        <v/>
      </c>
      <c r="U61" s="57" t="inlineStr"/>
    </row>
    <row r="62">
      <c r="A62" s="57" t="inlineStr">
        <is>
          <t>Pelvic congestion / pelvic vein embolisation</t>
        </is>
      </c>
      <c r="B62" s="57" t="inlineStr">
        <is>
          <t>Contrast reaction/AKI and radiation</t>
        </is>
      </c>
      <c r="C62" s="57" t="inlineStr">
        <is>
          <t>Conditional / patient-specific</t>
        </is>
      </c>
      <c r="D62" s="60">
        <f>'Delphi Round 1'!O62</f>
        <v/>
      </c>
      <c r="E62" s="60">
        <f>'Delphi Round 1'!P62</f>
        <v/>
      </c>
      <c r="F62" s="57">
        <f>'Delphi Round 1'!Q62</f>
        <v/>
      </c>
      <c r="G62" s="57">
        <f>'Delphi Round 1'!R62</f>
        <v/>
      </c>
      <c r="H62" s="57" t="inlineStr"/>
      <c r="I62" s="57" t="inlineStr"/>
      <c r="J62" s="57" t="inlineStr"/>
      <c r="K62" s="57" t="inlineStr"/>
      <c r="L62" s="57" t="inlineStr"/>
      <c r="M62" s="57" t="inlineStr"/>
      <c r="N62" s="57" t="inlineStr"/>
      <c r="O62" s="57" t="inlineStr"/>
      <c r="P62" s="57">
        <f>COUNT(H62:O62)</f>
        <v/>
      </c>
      <c r="Q62" s="60">
        <f>IF(P62=0,"",COUNTIF(H62:O62,"&gt;=4")/P62)</f>
        <v/>
      </c>
      <c r="R62" s="60">
        <f>IF(P62=0,"",COUNTIF(H62:O62,"&lt;=2")/P62)</f>
        <v/>
      </c>
      <c r="S62" s="57">
        <f>IF(P62=0,"",MEDIAN(H62:O62))</f>
        <v/>
      </c>
      <c r="T62" s="57">
        <f>IF(G62&lt;&gt;"Round 2",G62,IF(P62=0,"Awaiting Round 2",IF(Q62&gt;=0.8,"Include",IF(R62&gt;=0.8,"Exclude","No consensus"))))</f>
        <v/>
      </c>
      <c r="U62" s="57" t="inlineStr"/>
    </row>
    <row r="63">
      <c r="A63" s="57" t="inlineStr">
        <is>
          <t>Pelvic congestion / pelvic vein embolisation</t>
        </is>
      </c>
      <c r="B63" s="57" t="inlineStr">
        <is>
          <t>sedation if used</t>
        </is>
      </c>
      <c r="C63" s="57" t="inlineStr">
        <is>
          <t>Conditional / patient-specific</t>
        </is>
      </c>
      <c r="D63" s="60">
        <f>'Delphi Round 1'!O63</f>
        <v/>
      </c>
      <c r="E63" s="60">
        <f>'Delphi Round 1'!P63</f>
        <v/>
      </c>
      <c r="F63" s="57">
        <f>'Delphi Round 1'!Q63</f>
        <v/>
      </c>
      <c r="G63" s="57">
        <f>'Delphi Round 1'!R63</f>
        <v/>
      </c>
      <c r="H63" s="57" t="inlineStr"/>
      <c r="I63" s="57" t="inlineStr"/>
      <c r="J63" s="57" t="inlineStr"/>
      <c r="K63" s="57" t="inlineStr"/>
      <c r="L63" s="57" t="inlineStr"/>
      <c r="M63" s="57" t="inlineStr"/>
      <c r="N63" s="57" t="inlineStr"/>
      <c r="O63" s="57" t="inlineStr"/>
      <c r="P63" s="57">
        <f>COUNT(H63:O63)</f>
        <v/>
      </c>
      <c r="Q63" s="60">
        <f>IF(P63=0,"",COUNTIF(H63:O63,"&gt;=4")/P63)</f>
        <v/>
      </c>
      <c r="R63" s="60">
        <f>IF(P63=0,"",COUNTIF(H63:O63,"&lt;=2")/P63)</f>
        <v/>
      </c>
      <c r="S63" s="57">
        <f>IF(P63=0,"",MEDIAN(H63:O63))</f>
        <v/>
      </c>
      <c r="T63" s="57">
        <f>IF(G63&lt;&gt;"Round 2",G63,IF(P63=0,"Awaiting Round 2",IF(Q63&gt;=0.8,"Include",IF(R63&gt;=0.8,"Exclude","No consensus"))))</f>
        <v/>
      </c>
      <c r="U63" s="57" t="inlineStr"/>
    </row>
    <row r="64">
      <c r="A64" s="57" t="inlineStr">
        <is>
          <t>Pelvic congestion / pelvic vein embolisation</t>
        </is>
      </c>
      <c r="B64" s="57" t="inlineStr">
        <is>
          <t>Access route, embolic material/device, anatomy, pregnancy/fertility context</t>
        </is>
      </c>
      <c r="C64" s="57" t="inlineStr">
        <is>
          <t>Conditional / patient-specific</t>
        </is>
      </c>
      <c r="D64" s="60">
        <f>'Delphi Round 1'!O64</f>
        <v/>
      </c>
      <c r="E64" s="60">
        <f>'Delphi Round 1'!P64</f>
        <v/>
      </c>
      <c r="F64" s="57">
        <f>'Delphi Round 1'!Q64</f>
        <v/>
      </c>
      <c r="G64" s="57">
        <f>'Delphi Round 1'!R64</f>
        <v/>
      </c>
      <c r="H64" s="57" t="inlineStr"/>
      <c r="I64" s="57" t="inlineStr"/>
      <c r="J64" s="57" t="inlineStr"/>
      <c r="K64" s="57" t="inlineStr"/>
      <c r="L64" s="57" t="inlineStr"/>
      <c r="M64" s="57" t="inlineStr"/>
      <c r="N64" s="57" t="inlineStr"/>
      <c r="O64" s="57" t="inlineStr"/>
      <c r="P64" s="57">
        <f>COUNT(H64:O64)</f>
        <v/>
      </c>
      <c r="Q64" s="60">
        <f>IF(P64=0,"",COUNTIF(H64:O64,"&gt;=4")/P64)</f>
        <v/>
      </c>
      <c r="R64" s="60">
        <f>IF(P64=0,"",COUNTIF(H64:O64,"&lt;=2")/P64)</f>
        <v/>
      </c>
      <c r="S64" s="57">
        <f>IF(P64=0,"",MEDIAN(H64:O64))</f>
        <v/>
      </c>
      <c r="T64" s="57">
        <f>IF(G64&lt;&gt;"Round 2",G64,IF(P64=0,"Awaiting Round 2",IF(Q64&gt;=0.8,"Include",IF(R64&gt;=0.8,"Exclude","No consensus"))))</f>
        <v/>
      </c>
      <c r="U64" s="57" t="inlineStr"/>
    </row>
    <row r="65">
      <c r="A65" s="57" t="inlineStr">
        <is>
          <t>Percutaneous gastrostomy insertion</t>
        </is>
      </c>
      <c r="B65" s="57" t="inlineStr">
        <is>
          <t>Pain</t>
        </is>
      </c>
      <c r="C65" s="57" t="inlineStr">
        <is>
          <t>Core candidate</t>
        </is>
      </c>
      <c r="D65" s="60">
        <f>'Delphi Round 1'!O65</f>
        <v/>
      </c>
      <c r="E65" s="60">
        <f>'Delphi Round 1'!P65</f>
        <v/>
      </c>
      <c r="F65" s="57">
        <f>'Delphi Round 1'!Q65</f>
        <v/>
      </c>
      <c r="G65" s="57">
        <f>'Delphi Round 1'!R65</f>
        <v/>
      </c>
      <c r="H65" s="57" t="inlineStr"/>
      <c r="I65" s="57" t="inlineStr"/>
      <c r="J65" s="57" t="inlineStr"/>
      <c r="K65" s="57" t="inlineStr"/>
      <c r="L65" s="57" t="inlineStr"/>
      <c r="M65" s="57" t="inlineStr"/>
      <c r="N65" s="57" t="inlineStr"/>
      <c r="O65" s="57" t="inlineStr"/>
      <c r="P65" s="57">
        <f>COUNT(H65:O65)</f>
        <v/>
      </c>
      <c r="Q65" s="60">
        <f>IF(P65=0,"",COUNTIF(H65:O65,"&gt;=4")/P65)</f>
        <v/>
      </c>
      <c r="R65" s="60">
        <f>IF(P65=0,"",COUNTIF(H65:O65,"&lt;=2")/P65)</f>
        <v/>
      </c>
      <c r="S65" s="57">
        <f>IF(P65=0,"",MEDIAN(H65:O65))</f>
        <v/>
      </c>
      <c r="T65" s="57">
        <f>IF(G65&lt;&gt;"Round 2",G65,IF(P65=0,"Awaiting Round 2",IF(Q65&gt;=0.8,"Include",IF(R65&gt;=0.8,"Exclude","No consensus"))))</f>
        <v/>
      </c>
      <c r="U65" s="57" t="inlineStr"/>
    </row>
    <row r="66">
      <c r="A66" s="57" t="inlineStr">
        <is>
          <t>Percutaneous gastrostomy insertion</t>
        </is>
      </c>
      <c r="B66" s="57" t="inlineStr">
        <is>
          <t>peristomal infection</t>
        </is>
      </c>
      <c r="C66" s="57" t="inlineStr">
        <is>
          <t>Core candidate</t>
        </is>
      </c>
      <c r="D66" s="60">
        <f>'Delphi Round 1'!O66</f>
        <v/>
      </c>
      <c r="E66" s="60">
        <f>'Delphi Round 1'!P66</f>
        <v/>
      </c>
      <c r="F66" s="57">
        <f>'Delphi Round 1'!Q66</f>
        <v/>
      </c>
      <c r="G66" s="57">
        <f>'Delphi Round 1'!R66</f>
        <v/>
      </c>
      <c r="H66" s="57" t="inlineStr"/>
      <c r="I66" s="57" t="inlineStr"/>
      <c r="J66" s="57" t="inlineStr"/>
      <c r="K66" s="57" t="inlineStr"/>
      <c r="L66" s="57" t="inlineStr"/>
      <c r="M66" s="57" t="inlineStr"/>
      <c r="N66" s="57" t="inlineStr"/>
      <c r="O66" s="57" t="inlineStr"/>
      <c r="P66" s="57">
        <f>COUNT(H66:O66)</f>
        <v/>
      </c>
      <c r="Q66" s="60">
        <f>IF(P66=0,"",COUNTIF(H66:O66,"&gt;=4")/P66)</f>
        <v/>
      </c>
      <c r="R66" s="60">
        <f>IF(P66=0,"",COUNTIF(H66:O66,"&lt;=2")/P66)</f>
        <v/>
      </c>
      <c r="S66" s="57">
        <f>IF(P66=0,"",MEDIAN(H66:O66))</f>
        <v/>
      </c>
      <c r="T66" s="57">
        <f>IF(G66&lt;&gt;"Round 2",G66,IF(P66=0,"Awaiting Round 2",IF(Q66&gt;=0.8,"Include",IF(R66&gt;=0.8,"Exclude","No consensus"))))</f>
        <v/>
      </c>
      <c r="U66" s="57" t="inlineStr"/>
    </row>
    <row r="67">
      <c r="A67" s="57" t="inlineStr">
        <is>
          <t>Percutaneous gastrostomy insertion</t>
        </is>
      </c>
      <c r="B67" s="57" t="inlineStr">
        <is>
          <t>tube leak/dislodgement/blockage</t>
        </is>
      </c>
      <c r="C67" s="57" t="inlineStr">
        <is>
          <t>Core candidate</t>
        </is>
      </c>
      <c r="D67" s="60">
        <f>'Delphi Round 1'!O67</f>
        <v/>
      </c>
      <c r="E67" s="60">
        <f>'Delphi Round 1'!P67</f>
        <v/>
      </c>
      <c r="F67" s="57">
        <f>'Delphi Round 1'!Q67</f>
        <v/>
      </c>
      <c r="G67" s="57">
        <f>'Delphi Round 1'!R67</f>
        <v/>
      </c>
      <c r="H67" s="57" t="inlineStr"/>
      <c r="I67" s="57" t="inlineStr"/>
      <c r="J67" s="57" t="inlineStr"/>
      <c r="K67" s="57" t="inlineStr"/>
      <c r="L67" s="57" t="inlineStr"/>
      <c r="M67" s="57" t="inlineStr"/>
      <c r="N67" s="57" t="inlineStr"/>
      <c r="O67" s="57" t="inlineStr"/>
      <c r="P67" s="57">
        <f>COUNT(H67:O67)</f>
        <v/>
      </c>
      <c r="Q67" s="60">
        <f>IF(P67=0,"",COUNTIF(H67:O67,"&gt;=4")/P67)</f>
        <v/>
      </c>
      <c r="R67" s="60">
        <f>IF(P67=0,"",COUNTIF(H67:O67,"&lt;=2")/P67)</f>
        <v/>
      </c>
      <c r="S67" s="57">
        <f>IF(P67=0,"",MEDIAN(H67:O67))</f>
        <v/>
      </c>
      <c r="T67" s="57">
        <f>IF(G67&lt;&gt;"Round 2",G67,IF(P67=0,"Awaiting Round 2",IF(Q67&gt;=0.8,"Include",IF(R67&gt;=0.8,"Exclude","No consensus"))))</f>
        <v/>
      </c>
      <c r="U67" s="57" t="inlineStr"/>
    </row>
    <row r="68">
      <c r="A68" s="57" t="inlineStr">
        <is>
          <t>Percutaneous gastrostomy insertion</t>
        </is>
      </c>
      <c r="B68" s="57" t="inlineStr">
        <is>
          <t>Bleeding</t>
        </is>
      </c>
      <c r="C68" s="57" t="inlineStr">
        <is>
          <t>Core candidate</t>
        </is>
      </c>
      <c r="D68" s="60">
        <f>'Delphi Round 1'!O68</f>
        <v/>
      </c>
      <c r="E68" s="60">
        <f>'Delphi Round 1'!P68</f>
        <v/>
      </c>
      <c r="F68" s="57">
        <f>'Delphi Round 1'!Q68</f>
        <v/>
      </c>
      <c r="G68" s="57">
        <f>'Delphi Round 1'!R68</f>
        <v/>
      </c>
      <c r="H68" s="57" t="inlineStr"/>
      <c r="I68" s="57" t="inlineStr"/>
      <c r="J68" s="57" t="inlineStr"/>
      <c r="K68" s="57" t="inlineStr"/>
      <c r="L68" s="57" t="inlineStr"/>
      <c r="M68" s="57" t="inlineStr"/>
      <c r="N68" s="57" t="inlineStr"/>
      <c r="O68" s="57" t="inlineStr"/>
      <c r="P68" s="57">
        <f>COUNT(H68:O68)</f>
        <v/>
      </c>
      <c r="Q68" s="60">
        <f>IF(P68=0,"",COUNTIF(H68:O68,"&gt;=4")/P68)</f>
        <v/>
      </c>
      <c r="R68" s="60">
        <f>IF(P68=0,"",COUNTIF(H68:O68,"&lt;=2")/P68)</f>
        <v/>
      </c>
      <c r="S68" s="57">
        <f>IF(P68=0,"",MEDIAN(H68:O68))</f>
        <v/>
      </c>
      <c r="T68" s="57">
        <f>IF(G68&lt;&gt;"Round 2",G68,IF(P68=0,"Awaiting Round 2",IF(Q68&gt;=0.8,"Include",IF(R68&gt;=0.8,"Exclude","No consensus"))))</f>
        <v/>
      </c>
      <c r="U68" s="57" t="inlineStr"/>
    </row>
    <row r="69">
      <c r="A69" s="57" t="inlineStr">
        <is>
          <t>Percutaneous gastrostomy insertion</t>
        </is>
      </c>
      <c r="B69" s="57" t="inlineStr">
        <is>
          <t>aspiration</t>
        </is>
      </c>
      <c r="C69" s="57" t="inlineStr">
        <is>
          <t>Core candidate</t>
        </is>
      </c>
      <c r="D69" s="60">
        <f>'Delphi Round 1'!O69</f>
        <v/>
      </c>
      <c r="E69" s="60">
        <f>'Delphi Round 1'!P69</f>
        <v/>
      </c>
      <c r="F69" s="57">
        <f>'Delphi Round 1'!Q69</f>
        <v/>
      </c>
      <c r="G69" s="57">
        <f>'Delphi Round 1'!R69</f>
        <v/>
      </c>
      <c r="H69" s="57" t="inlineStr"/>
      <c r="I69" s="57" t="inlineStr"/>
      <c r="J69" s="57" t="inlineStr"/>
      <c r="K69" s="57" t="inlineStr"/>
      <c r="L69" s="57" t="inlineStr"/>
      <c r="M69" s="57" t="inlineStr"/>
      <c r="N69" s="57" t="inlineStr"/>
      <c r="O69" s="57" t="inlineStr"/>
      <c r="P69" s="57">
        <f>COUNT(H69:O69)</f>
        <v/>
      </c>
      <c r="Q69" s="60">
        <f>IF(P69=0,"",COUNTIF(H69:O69,"&gt;=4")/P69)</f>
        <v/>
      </c>
      <c r="R69" s="60">
        <f>IF(P69=0,"",COUNTIF(H69:O69,"&lt;=2")/P69)</f>
        <v/>
      </c>
      <c r="S69" s="57">
        <f>IF(P69=0,"",MEDIAN(H69:O69))</f>
        <v/>
      </c>
      <c r="T69" s="57">
        <f>IF(G69&lt;&gt;"Round 2",G69,IF(P69=0,"Awaiting Round 2",IF(Q69&gt;=0.8,"Include",IF(R69&gt;=0.8,"Exclude","No consensus"))))</f>
        <v/>
      </c>
      <c r="U69" s="57" t="inlineStr"/>
    </row>
    <row r="70">
      <c r="A70" s="57" t="inlineStr">
        <is>
          <t>Percutaneous gastrostomy insertion</t>
        </is>
      </c>
      <c r="B70" s="57" t="inlineStr">
        <is>
          <t>bowel/adjacent-organ injury or peritonitis</t>
        </is>
      </c>
      <c r="C70" s="57" t="inlineStr">
        <is>
          <t>Core candidate</t>
        </is>
      </c>
      <c r="D70" s="60">
        <f>'Delphi Round 1'!O70</f>
        <v/>
      </c>
      <c r="E70" s="60">
        <f>'Delphi Round 1'!P70</f>
        <v/>
      </c>
      <c r="F70" s="57">
        <f>'Delphi Round 1'!Q70</f>
        <v/>
      </c>
      <c r="G70" s="57">
        <f>'Delphi Round 1'!R70</f>
        <v/>
      </c>
      <c r="H70" s="57" t="inlineStr"/>
      <c r="I70" s="57" t="inlineStr"/>
      <c r="J70" s="57" t="inlineStr"/>
      <c r="K70" s="57" t="inlineStr"/>
      <c r="L70" s="57" t="inlineStr"/>
      <c r="M70" s="57" t="inlineStr"/>
      <c r="N70" s="57" t="inlineStr"/>
      <c r="O70" s="57" t="inlineStr"/>
      <c r="P70" s="57">
        <f>COUNT(H70:O70)</f>
        <v/>
      </c>
      <c r="Q70" s="60">
        <f>IF(P70=0,"",COUNTIF(H70:O70,"&gt;=4")/P70)</f>
        <v/>
      </c>
      <c r="R70" s="60">
        <f>IF(P70=0,"",COUNTIF(H70:O70,"&lt;=2")/P70)</f>
        <v/>
      </c>
      <c r="S70" s="57">
        <f>IF(P70=0,"",MEDIAN(H70:O70))</f>
        <v/>
      </c>
      <c r="T70" s="57">
        <f>IF(G70&lt;&gt;"Round 2",G70,IF(P70=0,"Awaiting Round 2",IF(Q70&gt;=0.8,"Include",IF(R70&gt;=0.8,"Exclude","No consensus"))))</f>
        <v/>
      </c>
      <c r="U70" s="57" t="inlineStr"/>
    </row>
    <row r="71">
      <c r="A71" s="57" t="inlineStr">
        <is>
          <t>Percutaneous gastrostomy insertion</t>
        </is>
      </c>
      <c r="B71" s="57" t="inlineStr">
        <is>
          <t>Sepsis or necrotising fasciitis (rare, serious)</t>
        </is>
      </c>
      <c r="C71" s="57" t="inlineStr">
        <is>
          <t>Core candidate</t>
        </is>
      </c>
      <c r="D71" s="60">
        <f>'Delphi Round 1'!O71</f>
        <v/>
      </c>
      <c r="E71" s="60">
        <f>'Delphi Round 1'!P71</f>
        <v/>
      </c>
      <c r="F71" s="57">
        <f>'Delphi Round 1'!Q71</f>
        <v/>
      </c>
      <c r="G71" s="57">
        <f>'Delphi Round 1'!R71</f>
        <v/>
      </c>
      <c r="H71" s="57" t="inlineStr"/>
      <c r="I71" s="57" t="inlineStr"/>
      <c r="J71" s="57" t="inlineStr"/>
      <c r="K71" s="57" t="inlineStr"/>
      <c r="L71" s="57" t="inlineStr"/>
      <c r="M71" s="57" t="inlineStr"/>
      <c r="N71" s="57" t="inlineStr"/>
      <c r="O71" s="57" t="inlineStr"/>
      <c r="P71" s="57">
        <f>COUNT(H71:O71)</f>
        <v/>
      </c>
      <c r="Q71" s="60">
        <f>IF(P71=0,"",COUNTIF(H71:O71,"&gt;=4")/P71)</f>
        <v/>
      </c>
      <c r="R71" s="60">
        <f>IF(P71=0,"",COUNTIF(H71:O71,"&lt;=2")/P71)</f>
        <v/>
      </c>
      <c r="S71" s="57">
        <f>IF(P71=0,"",MEDIAN(H71:O71))</f>
        <v/>
      </c>
      <c r="T71" s="57">
        <f>IF(G71&lt;&gt;"Round 2",G71,IF(P71=0,"Awaiting Round 2",IF(Q71&gt;=0.8,"Include",IF(R71&gt;=0.8,"Exclude","No consensus"))))</f>
        <v/>
      </c>
      <c r="U71" s="57" t="inlineStr"/>
    </row>
    <row r="72">
      <c r="A72" s="57" t="inlineStr">
        <is>
          <t>Percutaneous gastrostomy insertion</t>
        </is>
      </c>
      <c r="B72" s="57" t="inlineStr">
        <is>
          <t>failure/abandonment if unsafe</t>
        </is>
      </c>
      <c r="C72" s="57" t="inlineStr">
        <is>
          <t>Core candidate</t>
        </is>
      </c>
      <c r="D72" s="60">
        <f>'Delphi Round 1'!O72</f>
        <v/>
      </c>
      <c r="E72" s="60">
        <f>'Delphi Round 1'!P72</f>
        <v/>
      </c>
      <c r="F72" s="57">
        <f>'Delphi Round 1'!Q72</f>
        <v/>
      </c>
      <c r="G72" s="57">
        <f>'Delphi Round 1'!R72</f>
        <v/>
      </c>
      <c r="H72" s="57" t="inlineStr"/>
      <c r="I72" s="57" t="inlineStr"/>
      <c r="J72" s="57" t="inlineStr"/>
      <c r="K72" s="57" t="inlineStr"/>
      <c r="L72" s="57" t="inlineStr"/>
      <c r="M72" s="57" t="inlineStr"/>
      <c r="N72" s="57" t="inlineStr"/>
      <c r="O72" s="57" t="inlineStr"/>
      <c r="P72" s="57">
        <f>COUNT(H72:O72)</f>
        <v/>
      </c>
      <c r="Q72" s="60">
        <f>IF(P72=0,"",COUNTIF(H72:O72,"&gt;=4")/P72)</f>
        <v/>
      </c>
      <c r="R72" s="60">
        <f>IF(P72=0,"",COUNTIF(H72:O72,"&lt;=2")/P72)</f>
        <v/>
      </c>
      <c r="S72" s="57">
        <f>IF(P72=0,"",MEDIAN(H72:O72))</f>
        <v/>
      </c>
      <c r="T72" s="57">
        <f>IF(G72&lt;&gt;"Round 2",G72,IF(P72=0,"Awaiting Round 2",IF(Q72&gt;=0.8,"Include",IF(R72&gt;=0.8,"Exclude","No consensus"))))</f>
        <v/>
      </c>
      <c r="U72" s="57" t="inlineStr"/>
    </row>
    <row r="73">
      <c r="A73" s="57" t="inlineStr">
        <is>
          <t>Percutaneous gastrostomy insertion</t>
        </is>
      </c>
      <c r="B73" s="57" t="inlineStr">
        <is>
          <t>Puncture-site bleeding</t>
        </is>
      </c>
      <c r="C73" s="57" t="inlineStr">
        <is>
          <t>Core candidate</t>
        </is>
      </c>
      <c r="D73" s="60">
        <f>'Delphi Round 1'!O73</f>
        <v/>
      </c>
      <c r="E73" s="60">
        <f>'Delphi Round 1'!P73</f>
        <v/>
      </c>
      <c r="F73" s="57">
        <f>'Delphi Round 1'!Q73</f>
        <v/>
      </c>
      <c r="G73" s="57">
        <f>'Delphi Round 1'!R73</f>
        <v/>
      </c>
      <c r="H73" s="57" t="inlineStr"/>
      <c r="I73" s="57" t="inlineStr"/>
      <c r="J73" s="57" t="inlineStr"/>
      <c r="K73" s="57" t="inlineStr"/>
      <c r="L73" s="57" t="inlineStr"/>
      <c r="M73" s="57" t="inlineStr"/>
      <c r="N73" s="57" t="inlineStr"/>
      <c r="O73" s="57" t="inlineStr"/>
      <c r="P73" s="57">
        <f>COUNT(H73:O73)</f>
        <v/>
      </c>
      <c r="Q73" s="60">
        <f>IF(P73=0,"",COUNTIF(H73:O73,"&gt;=4")/P73)</f>
        <v/>
      </c>
      <c r="R73" s="60">
        <f>IF(P73=0,"",COUNTIF(H73:O73,"&lt;=2")/P73)</f>
        <v/>
      </c>
      <c r="S73" s="57">
        <f>IF(P73=0,"",MEDIAN(H73:O73))</f>
        <v/>
      </c>
      <c r="T73" s="57">
        <f>IF(G73&lt;&gt;"Round 2",G73,IF(P73=0,"Awaiting Round 2",IF(Q73&gt;=0.8,"Include",IF(R73&gt;=0.8,"Exclude","No consensus"))))</f>
        <v/>
      </c>
      <c r="U73" s="57" t="inlineStr"/>
    </row>
    <row r="74">
      <c r="A74" s="57" t="inlineStr">
        <is>
          <t>Percutaneous gastrostomy insertion</t>
        </is>
      </c>
      <c r="B74" s="57" t="inlineStr">
        <is>
          <t>Sedation/anaesthesia</t>
        </is>
      </c>
      <c r="C74" s="57" t="inlineStr">
        <is>
          <t>Conditional / patient-specific</t>
        </is>
      </c>
      <c r="D74" s="60">
        <f>'Delphi Round 1'!O74</f>
        <v/>
      </c>
      <c r="E74" s="60">
        <f>'Delphi Round 1'!P74</f>
        <v/>
      </c>
      <c r="F74" s="57">
        <f>'Delphi Round 1'!Q74</f>
        <v/>
      </c>
      <c r="G74" s="57">
        <f>'Delphi Round 1'!R74</f>
        <v/>
      </c>
      <c r="H74" s="57" t="inlineStr"/>
      <c r="I74" s="57" t="inlineStr"/>
      <c r="J74" s="57" t="inlineStr"/>
      <c r="K74" s="57" t="inlineStr"/>
      <c r="L74" s="57" t="inlineStr"/>
      <c r="M74" s="57" t="inlineStr"/>
      <c r="N74" s="57" t="inlineStr"/>
      <c r="O74" s="57" t="inlineStr"/>
      <c r="P74" s="57">
        <f>COUNT(H74:O74)</f>
        <v/>
      </c>
      <c r="Q74" s="60">
        <f>IF(P74=0,"",COUNTIF(H74:O74,"&gt;=4")/P74)</f>
        <v/>
      </c>
      <c r="R74" s="60">
        <f>IF(P74=0,"",COUNTIF(H74:O74,"&lt;=2")/P74)</f>
        <v/>
      </c>
      <c r="S74" s="57">
        <f>IF(P74=0,"",MEDIAN(H74:O74))</f>
        <v/>
      </c>
      <c r="T74" s="57">
        <f>IF(G74&lt;&gt;"Round 2",G74,IF(P74=0,"Awaiting Round 2",IF(Q74&gt;=0.8,"Include",IF(R74&gt;=0.8,"Exclude","No consensus"))))</f>
        <v/>
      </c>
      <c r="U74" s="57" t="inlineStr"/>
    </row>
    <row r="75">
      <c r="A75" s="57" t="inlineStr">
        <is>
          <t>Percutaneous gastrostomy insertion</t>
        </is>
      </c>
      <c r="B75" s="57" t="inlineStr">
        <is>
          <t>contrast and fluoroscopy where relevant</t>
        </is>
      </c>
      <c r="C75" s="57" t="inlineStr">
        <is>
          <t>Conditional / patient-specific</t>
        </is>
      </c>
      <c r="D75" s="60">
        <f>'Delphi Round 1'!O75</f>
        <v/>
      </c>
      <c r="E75" s="60">
        <f>'Delphi Round 1'!P75</f>
        <v/>
      </c>
      <c r="F75" s="57">
        <f>'Delphi Round 1'!Q75</f>
        <v/>
      </c>
      <c r="G75" s="57">
        <f>'Delphi Round 1'!R75</f>
        <v/>
      </c>
      <c r="H75" s="57" t="inlineStr"/>
      <c r="I75" s="57" t="inlineStr"/>
      <c r="J75" s="57" t="inlineStr"/>
      <c r="K75" s="57" t="inlineStr"/>
      <c r="L75" s="57" t="inlineStr"/>
      <c r="M75" s="57" t="inlineStr"/>
      <c r="N75" s="57" t="inlineStr"/>
      <c r="O75" s="57" t="inlineStr"/>
      <c r="P75" s="57">
        <f>COUNT(H75:O75)</f>
        <v/>
      </c>
      <c r="Q75" s="60">
        <f>IF(P75=0,"",COUNTIF(H75:O75,"&gt;=4")/P75)</f>
        <v/>
      </c>
      <c r="R75" s="60">
        <f>IF(P75=0,"",COUNTIF(H75:O75,"&lt;=2")/P75)</f>
        <v/>
      </c>
      <c r="S75" s="57">
        <f>IF(P75=0,"",MEDIAN(H75:O75))</f>
        <v/>
      </c>
      <c r="T75" s="57">
        <f>IF(G75&lt;&gt;"Round 2",G75,IF(P75=0,"Awaiting Round 2",IF(Q75&gt;=0.8,"Include",IF(R75&gt;=0.8,"Exclude","No consensus"))))</f>
        <v/>
      </c>
      <c r="U75" s="57" t="inlineStr"/>
    </row>
    <row r="76">
      <c r="A76" s="57" t="inlineStr">
        <is>
          <t>Percutaneous gastrostomy insertion</t>
        </is>
      </c>
      <c r="B76" s="57" t="inlineStr">
        <is>
          <t>Ascites, altered anatomy, prior surgery, airway/aspiration risk</t>
        </is>
      </c>
      <c r="C76" s="57" t="inlineStr">
        <is>
          <t>Conditional / patient-specific</t>
        </is>
      </c>
      <c r="D76" s="60">
        <f>'Delphi Round 1'!O76</f>
        <v/>
      </c>
      <c r="E76" s="60">
        <f>'Delphi Round 1'!P76</f>
        <v/>
      </c>
      <c r="F76" s="57">
        <f>'Delphi Round 1'!Q76</f>
        <v/>
      </c>
      <c r="G76" s="57">
        <f>'Delphi Round 1'!R76</f>
        <v/>
      </c>
      <c r="H76" s="57" t="inlineStr"/>
      <c r="I76" s="57" t="inlineStr"/>
      <c r="J76" s="57" t="inlineStr"/>
      <c r="K76" s="57" t="inlineStr"/>
      <c r="L76" s="57" t="inlineStr"/>
      <c r="M76" s="57" t="inlineStr"/>
      <c r="N76" s="57" t="inlineStr"/>
      <c r="O76" s="57" t="inlineStr"/>
      <c r="P76" s="57">
        <f>COUNT(H76:O76)</f>
        <v/>
      </c>
      <c r="Q76" s="60">
        <f>IF(P76=0,"",COUNTIF(H76:O76,"&gt;=4")/P76)</f>
        <v/>
      </c>
      <c r="R76" s="60">
        <f>IF(P76=0,"",COUNTIF(H76:O76,"&lt;=2")/P76)</f>
        <v/>
      </c>
      <c r="S76" s="57">
        <f>IF(P76=0,"",MEDIAN(H76:O76))</f>
        <v/>
      </c>
      <c r="T76" s="57">
        <f>IF(G76&lt;&gt;"Round 2",G76,IF(P76=0,"Awaiting Round 2",IF(Q76&gt;=0.8,"Include",IF(R76&gt;=0.8,"Exclude","No consensus"))))</f>
        <v/>
      </c>
      <c r="U76" s="57" t="inlineStr"/>
    </row>
    <row r="77">
      <c r="A77" s="57" t="inlineStr">
        <is>
          <t>Transjugular liver biopsy (TJLB)</t>
        </is>
      </c>
      <c r="B77" s="57" t="inlineStr">
        <is>
          <t>Neck discomfort</t>
        </is>
      </c>
      <c r="C77" s="57" t="inlineStr">
        <is>
          <t>Core candidate</t>
        </is>
      </c>
      <c r="D77" s="60">
        <f>'Delphi Round 1'!O77</f>
        <v/>
      </c>
      <c r="E77" s="60">
        <f>'Delphi Round 1'!P77</f>
        <v/>
      </c>
      <c r="F77" s="57">
        <f>'Delphi Round 1'!Q77</f>
        <v/>
      </c>
      <c r="G77" s="57">
        <f>'Delphi Round 1'!R77</f>
        <v/>
      </c>
      <c r="H77" s="57" t="inlineStr"/>
      <c r="I77" s="57" t="inlineStr"/>
      <c r="J77" s="57" t="inlineStr"/>
      <c r="K77" s="57" t="inlineStr"/>
      <c r="L77" s="57" t="inlineStr"/>
      <c r="M77" s="57" t="inlineStr"/>
      <c r="N77" s="57" t="inlineStr"/>
      <c r="O77" s="57" t="inlineStr"/>
      <c r="P77" s="57">
        <f>COUNT(H77:O77)</f>
        <v/>
      </c>
      <c r="Q77" s="60">
        <f>IF(P77=0,"",COUNTIF(H77:O77,"&gt;=4")/P77)</f>
        <v/>
      </c>
      <c r="R77" s="60">
        <f>IF(P77=0,"",COUNTIF(H77:O77,"&lt;=2")/P77)</f>
        <v/>
      </c>
      <c r="S77" s="57">
        <f>IF(P77=0,"",MEDIAN(H77:O77))</f>
        <v/>
      </c>
      <c r="T77" s="57">
        <f>IF(G77&lt;&gt;"Round 2",G77,IF(P77=0,"Awaiting Round 2",IF(Q77&gt;=0.8,"Include",IF(R77&gt;=0.8,"Exclude","No consensus"))))</f>
        <v/>
      </c>
      <c r="U77" s="57" t="inlineStr"/>
    </row>
    <row r="78">
      <c r="A78" s="57" t="inlineStr">
        <is>
          <t>Transjugular liver biopsy (TJLB)</t>
        </is>
      </c>
      <c r="B78" s="57" t="inlineStr">
        <is>
          <t>inadequate sample/repeat biopsy</t>
        </is>
      </c>
      <c r="C78" s="57" t="inlineStr">
        <is>
          <t>Core candidate</t>
        </is>
      </c>
      <c r="D78" s="60">
        <f>'Delphi Round 1'!O78</f>
        <v/>
      </c>
      <c r="E78" s="60">
        <f>'Delphi Round 1'!P78</f>
        <v/>
      </c>
      <c r="F78" s="57">
        <f>'Delphi Round 1'!Q78</f>
        <v/>
      </c>
      <c r="G78" s="57">
        <f>'Delphi Round 1'!R78</f>
        <v/>
      </c>
      <c r="H78" s="57" t="inlineStr"/>
      <c r="I78" s="57" t="inlineStr"/>
      <c r="J78" s="57" t="inlineStr"/>
      <c r="K78" s="57" t="inlineStr"/>
      <c r="L78" s="57" t="inlineStr"/>
      <c r="M78" s="57" t="inlineStr"/>
      <c r="N78" s="57" t="inlineStr"/>
      <c r="O78" s="57" t="inlineStr"/>
      <c r="P78" s="57">
        <f>COUNT(H78:O78)</f>
        <v/>
      </c>
      <c r="Q78" s="60">
        <f>IF(P78=0,"",COUNTIF(H78:O78,"&gt;=4")/P78)</f>
        <v/>
      </c>
      <c r="R78" s="60">
        <f>IF(P78=0,"",COUNTIF(H78:O78,"&lt;=2")/P78)</f>
        <v/>
      </c>
      <c r="S78" s="57">
        <f>IF(P78=0,"",MEDIAN(H78:O78))</f>
        <v/>
      </c>
      <c r="T78" s="57">
        <f>IF(G78&lt;&gt;"Round 2",G78,IF(P78=0,"Awaiting Round 2",IF(Q78&gt;=0.8,"Include",IF(R78&gt;=0.8,"Exclude","No consensus"))))</f>
        <v/>
      </c>
      <c r="U78" s="57" t="inlineStr"/>
    </row>
    <row r="79">
      <c r="A79" s="57" t="inlineStr">
        <is>
          <t>Transjugular liver biopsy (TJLB)</t>
        </is>
      </c>
      <c r="B79" s="57" t="inlineStr">
        <is>
          <t>Neck bleeding/haematoma</t>
        </is>
      </c>
      <c r="C79" s="57" t="inlineStr">
        <is>
          <t>Core candidate</t>
        </is>
      </c>
      <c r="D79" s="60">
        <f>'Delphi Round 1'!O79</f>
        <v/>
      </c>
      <c r="E79" s="60">
        <f>'Delphi Round 1'!P79</f>
        <v/>
      </c>
      <c r="F79" s="57">
        <f>'Delphi Round 1'!Q79</f>
        <v/>
      </c>
      <c r="G79" s="57">
        <f>'Delphi Round 1'!R79</f>
        <v/>
      </c>
      <c r="H79" s="57" t="inlineStr"/>
      <c r="I79" s="57" t="inlineStr"/>
      <c r="J79" s="57" t="inlineStr"/>
      <c r="K79" s="57" t="inlineStr"/>
      <c r="L79" s="57" t="inlineStr"/>
      <c r="M79" s="57" t="inlineStr"/>
      <c r="N79" s="57" t="inlineStr"/>
      <c r="O79" s="57" t="inlineStr"/>
      <c r="P79" s="57">
        <f>COUNT(H79:O79)</f>
        <v/>
      </c>
      <c r="Q79" s="60">
        <f>IF(P79=0,"",COUNTIF(H79:O79,"&gt;=4")/P79)</f>
        <v/>
      </c>
      <c r="R79" s="60">
        <f>IF(P79=0,"",COUNTIF(H79:O79,"&lt;=2")/P79)</f>
        <v/>
      </c>
      <c r="S79" s="57">
        <f>IF(P79=0,"",MEDIAN(H79:O79))</f>
        <v/>
      </c>
      <c r="T79" s="57">
        <f>IF(G79&lt;&gt;"Round 2",G79,IF(P79=0,"Awaiting Round 2",IF(Q79&gt;=0.8,"Include",IF(R79&gt;=0.8,"Exclude","No consensus"))))</f>
        <v/>
      </c>
      <c r="U79" s="57" t="inlineStr"/>
    </row>
    <row r="80">
      <c r="A80" s="57" t="inlineStr">
        <is>
          <t>Transjugular liver biopsy (TJLB)</t>
        </is>
      </c>
      <c r="B80" s="57" t="inlineStr">
        <is>
          <t>arrhythmia</t>
        </is>
      </c>
      <c r="C80" s="57" t="inlineStr">
        <is>
          <t>Core candidate</t>
        </is>
      </c>
      <c r="D80" s="60">
        <f>'Delphi Round 1'!O80</f>
        <v/>
      </c>
      <c r="E80" s="60">
        <f>'Delphi Round 1'!P80</f>
        <v/>
      </c>
      <c r="F80" s="57">
        <f>'Delphi Round 1'!Q80</f>
        <v/>
      </c>
      <c r="G80" s="57">
        <f>'Delphi Round 1'!R80</f>
        <v/>
      </c>
      <c r="H80" s="57" t="inlineStr"/>
      <c r="I80" s="57" t="inlineStr"/>
      <c r="J80" s="57" t="inlineStr"/>
      <c r="K80" s="57" t="inlineStr"/>
      <c r="L80" s="57" t="inlineStr"/>
      <c r="M80" s="57" t="inlineStr"/>
      <c r="N80" s="57" t="inlineStr"/>
      <c r="O80" s="57" t="inlineStr"/>
      <c r="P80" s="57">
        <f>COUNT(H80:O80)</f>
        <v/>
      </c>
      <c r="Q80" s="60">
        <f>IF(P80=0,"",COUNTIF(H80:O80,"&gt;=4")/P80)</f>
        <v/>
      </c>
      <c r="R80" s="60">
        <f>IF(P80=0,"",COUNTIF(H80:O80,"&lt;=2")/P80)</f>
        <v/>
      </c>
      <c r="S80" s="57">
        <f>IF(P80=0,"",MEDIAN(H80:O80))</f>
        <v/>
      </c>
      <c r="T80" s="57">
        <f>IF(G80&lt;&gt;"Round 2",G80,IF(P80=0,"Awaiting Round 2",IF(Q80&gt;=0.8,"Include",IF(R80&gt;=0.8,"Exclude","No consensus"))))</f>
        <v/>
      </c>
      <c r="U80" s="57" t="inlineStr"/>
    </row>
    <row r="81">
      <c r="A81" s="57" t="inlineStr">
        <is>
          <t>Transjugular liver biopsy (TJLB)</t>
        </is>
      </c>
      <c r="B81" s="57" t="inlineStr">
        <is>
          <t>capsular perforation or intra-abdominal bleeding</t>
        </is>
      </c>
      <c r="C81" s="57" t="inlineStr">
        <is>
          <t>Core candidate</t>
        </is>
      </c>
      <c r="D81" s="60">
        <f>'Delphi Round 1'!O81</f>
        <v/>
      </c>
      <c r="E81" s="60">
        <f>'Delphi Round 1'!P81</f>
        <v/>
      </c>
      <c r="F81" s="57">
        <f>'Delphi Round 1'!Q81</f>
        <v/>
      </c>
      <c r="G81" s="57">
        <f>'Delphi Round 1'!R81</f>
        <v/>
      </c>
      <c r="H81" s="57" t="inlineStr"/>
      <c r="I81" s="57" t="inlineStr"/>
      <c r="J81" s="57" t="inlineStr"/>
      <c r="K81" s="57" t="inlineStr"/>
      <c r="L81" s="57" t="inlineStr"/>
      <c r="M81" s="57" t="inlineStr"/>
      <c r="N81" s="57" t="inlineStr"/>
      <c r="O81" s="57" t="inlineStr"/>
      <c r="P81" s="57">
        <f>COUNT(H81:O81)</f>
        <v/>
      </c>
      <c r="Q81" s="60">
        <f>IF(P81=0,"",COUNTIF(H81:O81,"&gt;=4")/P81)</f>
        <v/>
      </c>
      <c r="R81" s="60">
        <f>IF(P81=0,"",COUNTIF(H81:O81,"&lt;=2")/P81)</f>
        <v/>
      </c>
      <c r="S81" s="57">
        <f>IF(P81=0,"",MEDIAN(H81:O81))</f>
        <v/>
      </c>
      <c r="T81" s="57">
        <f>IF(G81&lt;&gt;"Round 2",G81,IF(P81=0,"Awaiting Round 2",IF(Q81&gt;=0.8,"Include",IF(R81&gt;=0.8,"Exclude","No consensus"))))</f>
        <v/>
      </c>
      <c r="U81" s="57" t="inlineStr"/>
    </row>
    <row r="82">
      <c r="A82" s="57" t="inlineStr">
        <is>
          <t>Transjugular liver biopsy (TJLB)</t>
        </is>
      </c>
      <c r="B82" s="57" t="inlineStr">
        <is>
          <t>Haemobilia/biliary injury</t>
        </is>
      </c>
      <c r="C82" s="57" t="inlineStr">
        <is>
          <t>Core candidate</t>
        </is>
      </c>
      <c r="D82" s="60">
        <f>'Delphi Round 1'!O82</f>
        <v/>
      </c>
      <c r="E82" s="60">
        <f>'Delphi Round 1'!P82</f>
        <v/>
      </c>
      <c r="F82" s="57">
        <f>'Delphi Round 1'!Q82</f>
        <v/>
      </c>
      <c r="G82" s="57">
        <f>'Delphi Round 1'!R82</f>
        <v/>
      </c>
      <c r="H82" s="57" t="inlineStr"/>
      <c r="I82" s="57" t="inlineStr"/>
      <c r="J82" s="57" t="inlineStr"/>
      <c r="K82" s="57" t="inlineStr"/>
      <c r="L82" s="57" t="inlineStr"/>
      <c r="M82" s="57" t="inlineStr"/>
      <c r="N82" s="57" t="inlineStr"/>
      <c r="O82" s="57" t="inlineStr"/>
      <c r="P82" s="57">
        <f>COUNT(H82:O82)</f>
        <v/>
      </c>
      <c r="Q82" s="60">
        <f>IF(P82=0,"",COUNTIF(H82:O82,"&gt;=4")/P82)</f>
        <v/>
      </c>
      <c r="R82" s="60">
        <f>IF(P82=0,"",COUNTIF(H82:O82,"&lt;=2")/P82)</f>
        <v/>
      </c>
      <c r="S82" s="57">
        <f>IF(P82=0,"",MEDIAN(H82:O82))</f>
        <v/>
      </c>
      <c r="T82" s="57">
        <f>IF(G82&lt;&gt;"Round 2",G82,IF(P82=0,"Awaiting Round 2",IF(Q82&gt;=0.8,"Include",IF(R82&gt;=0.8,"Exclude","No consensus"))))</f>
        <v/>
      </c>
      <c r="U82" s="57" t="inlineStr"/>
    </row>
    <row r="83">
      <c r="A83" s="57" t="inlineStr">
        <is>
          <t>Transjugular liver biopsy (TJLB)</t>
        </is>
      </c>
      <c r="B83" s="57" t="inlineStr">
        <is>
          <t>severe bleeding</t>
        </is>
      </c>
      <c r="C83" s="57" t="inlineStr">
        <is>
          <t>Core candidate</t>
        </is>
      </c>
      <c r="D83" s="60">
        <f>'Delphi Round 1'!O83</f>
        <v/>
      </c>
      <c r="E83" s="60">
        <f>'Delphi Round 1'!P83</f>
        <v/>
      </c>
      <c r="F83" s="57">
        <f>'Delphi Round 1'!Q83</f>
        <v/>
      </c>
      <c r="G83" s="57">
        <f>'Delphi Round 1'!R83</f>
        <v/>
      </c>
      <c r="H83" s="57" t="inlineStr"/>
      <c r="I83" s="57" t="inlineStr"/>
      <c r="J83" s="57" t="inlineStr"/>
      <c r="K83" s="57" t="inlineStr"/>
      <c r="L83" s="57" t="inlineStr"/>
      <c r="M83" s="57" t="inlineStr"/>
      <c r="N83" s="57" t="inlineStr"/>
      <c r="O83" s="57" t="inlineStr"/>
      <c r="P83" s="57">
        <f>COUNT(H83:O83)</f>
        <v/>
      </c>
      <c r="Q83" s="60">
        <f>IF(P83=0,"",COUNTIF(H83:O83,"&gt;=4")/P83)</f>
        <v/>
      </c>
      <c r="R83" s="60">
        <f>IF(P83=0,"",COUNTIF(H83:O83,"&lt;=2")/P83)</f>
        <v/>
      </c>
      <c r="S83" s="57">
        <f>IF(P83=0,"",MEDIAN(H83:O83))</f>
        <v/>
      </c>
      <c r="T83" s="57">
        <f>IF(G83&lt;&gt;"Round 2",G83,IF(P83=0,"Awaiting Round 2",IF(Q83&gt;=0.8,"Include",IF(R83&gt;=0.8,"Exclude","No consensus"))))</f>
        <v/>
      </c>
      <c r="U83" s="57" t="inlineStr"/>
    </row>
    <row r="84">
      <c r="A84" s="57" t="inlineStr">
        <is>
          <t>Transjugular liver biopsy (TJLB)</t>
        </is>
      </c>
      <c r="B84" s="57" t="inlineStr">
        <is>
          <t>Neck puncture bleeding/haematoma</t>
        </is>
      </c>
      <c r="C84" s="57" t="inlineStr">
        <is>
          <t>Core candidate</t>
        </is>
      </c>
      <c r="D84" s="60">
        <f>'Delphi Round 1'!O84</f>
        <v/>
      </c>
      <c r="E84" s="60">
        <f>'Delphi Round 1'!P84</f>
        <v/>
      </c>
      <c r="F84" s="57">
        <f>'Delphi Round 1'!Q84</f>
        <v/>
      </c>
      <c r="G84" s="57">
        <f>'Delphi Round 1'!R84</f>
        <v/>
      </c>
      <c r="H84" s="57" t="inlineStr"/>
      <c r="I84" s="57" t="inlineStr"/>
      <c r="J84" s="57" t="inlineStr"/>
      <c r="K84" s="57" t="inlineStr"/>
      <c r="L84" s="57" t="inlineStr"/>
      <c r="M84" s="57" t="inlineStr"/>
      <c r="N84" s="57" t="inlineStr"/>
      <c r="O84" s="57" t="inlineStr"/>
      <c r="P84" s="57">
        <f>COUNT(H84:O84)</f>
        <v/>
      </c>
      <c r="Q84" s="60">
        <f>IF(P84=0,"",COUNTIF(H84:O84,"&gt;=4")/P84)</f>
        <v/>
      </c>
      <c r="R84" s="60">
        <f>IF(P84=0,"",COUNTIF(H84:O84,"&lt;=2")/P84)</f>
        <v/>
      </c>
      <c r="S84" s="57">
        <f>IF(P84=0,"",MEDIAN(H84:O84))</f>
        <v/>
      </c>
      <c r="T84" s="57">
        <f>IF(G84&lt;&gt;"Round 2",G84,IF(P84=0,"Awaiting Round 2",IF(Q84&gt;=0.8,"Include",IF(R84&gt;=0.8,"Exclude","No consensus"))))</f>
        <v/>
      </c>
      <c r="U84" s="57" t="inlineStr"/>
    </row>
    <row r="85">
      <c r="A85" s="57" t="inlineStr">
        <is>
          <t>Transjugular liver biopsy (TJLB)</t>
        </is>
      </c>
      <c r="B85" s="57" t="inlineStr">
        <is>
          <t>inadvertent arterial puncture</t>
        </is>
      </c>
      <c r="C85" s="57" t="inlineStr">
        <is>
          <t>Core candidate</t>
        </is>
      </c>
      <c r="D85" s="60">
        <f>'Delphi Round 1'!O85</f>
        <v/>
      </c>
      <c r="E85" s="60">
        <f>'Delphi Round 1'!P85</f>
        <v/>
      </c>
      <c r="F85" s="57">
        <f>'Delphi Round 1'!Q85</f>
        <v/>
      </c>
      <c r="G85" s="57">
        <f>'Delphi Round 1'!R85</f>
        <v/>
      </c>
      <c r="H85" s="57" t="inlineStr"/>
      <c r="I85" s="57" t="inlineStr"/>
      <c r="J85" s="57" t="inlineStr"/>
      <c r="K85" s="57" t="inlineStr"/>
      <c r="L85" s="57" t="inlineStr"/>
      <c r="M85" s="57" t="inlineStr"/>
      <c r="N85" s="57" t="inlineStr"/>
      <c r="O85" s="57" t="inlineStr"/>
      <c r="P85" s="57">
        <f>COUNT(H85:O85)</f>
        <v/>
      </c>
      <c r="Q85" s="60">
        <f>IF(P85=0,"",COUNTIF(H85:O85,"&gt;=4")/P85)</f>
        <v/>
      </c>
      <c r="R85" s="60">
        <f>IF(P85=0,"",COUNTIF(H85:O85,"&lt;=2")/P85)</f>
        <v/>
      </c>
      <c r="S85" s="57">
        <f>IF(P85=0,"",MEDIAN(H85:O85))</f>
        <v/>
      </c>
      <c r="T85" s="57">
        <f>IF(G85&lt;&gt;"Round 2",G85,IF(P85=0,"Awaiting Round 2",IF(Q85&gt;=0.8,"Include",IF(R85&gt;=0.8,"Exclude","No consensus"))))</f>
        <v/>
      </c>
      <c r="U85" s="57" t="inlineStr"/>
    </row>
    <row r="86">
      <c r="A86" s="57" t="inlineStr">
        <is>
          <t>Transjugular liver biopsy (TJLB)</t>
        </is>
      </c>
      <c r="B86" s="57" t="inlineStr">
        <is>
          <t>Contrast/radiation as relevant</t>
        </is>
      </c>
      <c r="C86" s="57" t="inlineStr">
        <is>
          <t>Conditional / patient-specific</t>
        </is>
      </c>
      <c r="D86" s="60">
        <f>'Delphi Round 1'!O86</f>
        <v/>
      </c>
      <c r="E86" s="60">
        <f>'Delphi Round 1'!P86</f>
        <v/>
      </c>
      <c r="F86" s="57">
        <f>'Delphi Round 1'!Q86</f>
        <v/>
      </c>
      <c r="G86" s="57">
        <f>'Delphi Round 1'!R86</f>
        <v/>
      </c>
      <c r="H86" s="57" t="inlineStr"/>
      <c r="I86" s="57" t="inlineStr"/>
      <c r="J86" s="57" t="inlineStr"/>
      <c r="K86" s="57" t="inlineStr"/>
      <c r="L86" s="57" t="inlineStr"/>
      <c r="M86" s="57" t="inlineStr"/>
      <c r="N86" s="57" t="inlineStr"/>
      <c r="O86" s="57" t="inlineStr"/>
      <c r="P86" s="57">
        <f>COUNT(H86:O86)</f>
        <v/>
      </c>
      <c r="Q86" s="60">
        <f>IF(P86=0,"",COUNTIF(H86:O86,"&gt;=4")/P86)</f>
        <v/>
      </c>
      <c r="R86" s="60">
        <f>IF(P86=0,"",COUNTIF(H86:O86,"&lt;=2")/P86)</f>
        <v/>
      </c>
      <c r="S86" s="57">
        <f>IF(P86=0,"",MEDIAN(H86:O86))</f>
        <v/>
      </c>
      <c r="T86" s="57">
        <f>IF(G86&lt;&gt;"Round 2",G86,IF(P86=0,"Awaiting Round 2",IF(Q86&gt;=0.8,"Include",IF(R86&gt;=0.8,"Exclude","No consensus"))))</f>
        <v/>
      </c>
      <c r="U86" s="57" t="inlineStr"/>
    </row>
    <row r="87">
      <c r="A87" s="57" t="inlineStr">
        <is>
          <t>Transjugular liver biopsy (TJLB)</t>
        </is>
      </c>
      <c r="B87" s="57" t="inlineStr">
        <is>
          <t>sedation if used</t>
        </is>
      </c>
      <c r="C87" s="57" t="inlineStr">
        <is>
          <t>Conditional / patient-specific</t>
        </is>
      </c>
      <c r="D87" s="60">
        <f>'Delphi Round 1'!O87</f>
        <v/>
      </c>
      <c r="E87" s="60">
        <f>'Delphi Round 1'!P87</f>
        <v/>
      </c>
      <c r="F87" s="57">
        <f>'Delphi Round 1'!Q87</f>
        <v/>
      </c>
      <c r="G87" s="57">
        <f>'Delphi Round 1'!R87</f>
        <v/>
      </c>
      <c r="H87" s="57" t="inlineStr"/>
      <c r="I87" s="57" t="inlineStr"/>
      <c r="J87" s="57" t="inlineStr"/>
      <c r="K87" s="57" t="inlineStr"/>
      <c r="L87" s="57" t="inlineStr"/>
      <c r="M87" s="57" t="inlineStr"/>
      <c r="N87" s="57" t="inlineStr"/>
      <c r="O87" s="57" t="inlineStr"/>
      <c r="P87" s="57">
        <f>COUNT(H87:O87)</f>
        <v/>
      </c>
      <c r="Q87" s="60">
        <f>IF(P87=0,"",COUNTIF(H87:O87,"&gt;=4")/P87)</f>
        <v/>
      </c>
      <c r="R87" s="60">
        <f>IF(P87=0,"",COUNTIF(H87:O87,"&lt;=2")/P87)</f>
        <v/>
      </c>
      <c r="S87" s="57">
        <f>IF(P87=0,"",MEDIAN(H87:O87))</f>
        <v/>
      </c>
      <c r="T87" s="57">
        <f>IF(G87&lt;&gt;"Round 2",G87,IF(P87=0,"Awaiting Round 2",IF(Q87&gt;=0.8,"Include",IF(R87&gt;=0.8,"Exclude","No consensus"))))</f>
        <v/>
      </c>
      <c r="U87" s="57" t="inlineStr"/>
    </row>
    <row r="88">
      <c r="A88" s="57" t="inlineStr">
        <is>
          <t>Transjugular liver biopsy (TJLB)</t>
        </is>
      </c>
      <c r="B88" s="57" t="inlineStr">
        <is>
          <t>Liver disease severity, coagulopathy, route and biopsy indication</t>
        </is>
      </c>
      <c r="C88" s="57" t="inlineStr">
        <is>
          <t>Conditional / patient-specific</t>
        </is>
      </c>
      <c r="D88" s="60">
        <f>'Delphi Round 1'!O88</f>
        <v/>
      </c>
      <c r="E88" s="60">
        <f>'Delphi Round 1'!P88</f>
        <v/>
      </c>
      <c r="F88" s="57">
        <f>'Delphi Round 1'!Q88</f>
        <v/>
      </c>
      <c r="G88" s="57">
        <f>'Delphi Round 1'!R88</f>
        <v/>
      </c>
      <c r="H88" s="57" t="inlineStr"/>
      <c r="I88" s="57" t="inlineStr"/>
      <c r="J88" s="57" t="inlineStr"/>
      <c r="K88" s="57" t="inlineStr"/>
      <c r="L88" s="57" t="inlineStr"/>
      <c r="M88" s="57" t="inlineStr"/>
      <c r="N88" s="57" t="inlineStr"/>
      <c r="O88" s="57" t="inlineStr"/>
      <c r="P88" s="57">
        <f>COUNT(H88:O88)</f>
        <v/>
      </c>
      <c r="Q88" s="60">
        <f>IF(P88=0,"",COUNTIF(H88:O88,"&gt;=4")/P88)</f>
        <v/>
      </c>
      <c r="R88" s="60">
        <f>IF(P88=0,"",COUNTIF(H88:O88,"&lt;=2")/P88)</f>
        <v/>
      </c>
      <c r="S88" s="57">
        <f>IF(P88=0,"",MEDIAN(H88:O88))</f>
        <v/>
      </c>
      <c r="T88" s="57">
        <f>IF(G88&lt;&gt;"Round 2",G88,IF(P88=0,"Awaiting Round 2",IF(Q88&gt;=0.8,"Include",IF(R88&gt;=0.8,"Exclude","No consensus"))))</f>
        <v/>
      </c>
      <c r="U88" s="57" t="inlineStr"/>
    </row>
    <row r="89">
      <c r="A89" s="57" t="inlineStr">
        <is>
          <t>Peripheral arterial angioplasty +/- stenting</t>
        </is>
      </c>
      <c r="B89" s="57" t="inlineStr">
        <is>
          <t>Access-site bruising/bleeding</t>
        </is>
      </c>
      <c r="C89" s="57" t="inlineStr">
        <is>
          <t>Core candidate</t>
        </is>
      </c>
      <c r="D89" s="60">
        <f>'Delphi Round 1'!O89</f>
        <v/>
      </c>
      <c r="E89" s="60">
        <f>'Delphi Round 1'!P89</f>
        <v/>
      </c>
      <c r="F89" s="57">
        <f>'Delphi Round 1'!Q89</f>
        <v/>
      </c>
      <c r="G89" s="57">
        <f>'Delphi Round 1'!R89</f>
        <v/>
      </c>
      <c r="H89" s="57" t="inlineStr"/>
      <c r="I89" s="57" t="inlineStr"/>
      <c r="J89" s="57" t="inlineStr"/>
      <c r="K89" s="57" t="inlineStr"/>
      <c r="L89" s="57" t="inlineStr"/>
      <c r="M89" s="57" t="inlineStr"/>
      <c r="N89" s="57" t="inlineStr"/>
      <c r="O89" s="57" t="inlineStr"/>
      <c r="P89" s="57">
        <f>COUNT(H89:O89)</f>
        <v/>
      </c>
      <c r="Q89" s="60">
        <f>IF(P89=0,"",COUNTIF(H89:O89,"&gt;=4")/P89)</f>
        <v/>
      </c>
      <c r="R89" s="60">
        <f>IF(P89=0,"",COUNTIF(H89:O89,"&lt;=2")/P89)</f>
        <v/>
      </c>
      <c r="S89" s="57">
        <f>IF(P89=0,"",MEDIAN(H89:O89))</f>
        <v/>
      </c>
      <c r="T89" s="57">
        <f>IF(G89&lt;&gt;"Round 2",G89,IF(P89=0,"Awaiting Round 2",IF(Q89&gt;=0.8,"Include",IF(R89&gt;=0.8,"Exclude","No consensus"))))</f>
        <v/>
      </c>
      <c r="U89" s="57" t="inlineStr"/>
    </row>
    <row r="90">
      <c r="A90" s="57" t="inlineStr">
        <is>
          <t>Peripheral arterial angioplasty +/- stenting</t>
        </is>
      </c>
      <c r="B90" s="57" t="inlineStr">
        <is>
          <t>restenosis or recurrent symptoms</t>
        </is>
      </c>
      <c r="C90" s="57" t="inlineStr">
        <is>
          <t>Core candidate</t>
        </is>
      </c>
      <c r="D90" s="60">
        <f>'Delphi Round 1'!O90</f>
        <v/>
      </c>
      <c r="E90" s="60">
        <f>'Delphi Round 1'!P90</f>
        <v/>
      </c>
      <c r="F90" s="57">
        <f>'Delphi Round 1'!Q90</f>
        <v/>
      </c>
      <c r="G90" s="57">
        <f>'Delphi Round 1'!R90</f>
        <v/>
      </c>
      <c r="H90" s="57" t="inlineStr"/>
      <c r="I90" s="57" t="inlineStr"/>
      <c r="J90" s="57" t="inlineStr"/>
      <c r="K90" s="57" t="inlineStr"/>
      <c r="L90" s="57" t="inlineStr"/>
      <c r="M90" s="57" t="inlineStr"/>
      <c r="N90" s="57" t="inlineStr"/>
      <c r="O90" s="57" t="inlineStr"/>
      <c r="P90" s="57">
        <f>COUNT(H90:O90)</f>
        <v/>
      </c>
      <c r="Q90" s="60">
        <f>IF(P90=0,"",COUNTIF(H90:O90,"&gt;=4")/P90)</f>
        <v/>
      </c>
      <c r="R90" s="60">
        <f>IF(P90=0,"",COUNTIF(H90:O90,"&lt;=2")/P90)</f>
        <v/>
      </c>
      <c r="S90" s="57">
        <f>IF(P90=0,"",MEDIAN(H90:O90))</f>
        <v/>
      </c>
      <c r="T90" s="57">
        <f>IF(G90&lt;&gt;"Round 2",G90,IF(P90=0,"Awaiting Round 2",IF(Q90&gt;=0.8,"Include",IF(R90&gt;=0.8,"Exclude","No consensus"))))</f>
        <v/>
      </c>
      <c r="U90" s="57" t="inlineStr"/>
    </row>
    <row r="91">
      <c r="A91" s="57" t="inlineStr">
        <is>
          <t>Peripheral arterial angioplasty +/- stenting</t>
        </is>
      </c>
      <c r="B91" s="57" t="inlineStr">
        <is>
          <t>Dissection</t>
        </is>
      </c>
      <c r="C91" s="57" t="inlineStr">
        <is>
          <t>Core candidate</t>
        </is>
      </c>
      <c r="D91" s="60">
        <f>'Delphi Round 1'!O91</f>
        <v/>
      </c>
      <c r="E91" s="60">
        <f>'Delphi Round 1'!P91</f>
        <v/>
      </c>
      <c r="F91" s="57">
        <f>'Delphi Round 1'!Q91</f>
        <v/>
      </c>
      <c r="G91" s="57">
        <f>'Delphi Round 1'!R91</f>
        <v/>
      </c>
      <c r="H91" s="57" t="inlineStr"/>
      <c r="I91" s="57" t="inlineStr"/>
      <c r="J91" s="57" t="inlineStr"/>
      <c r="K91" s="57" t="inlineStr"/>
      <c r="L91" s="57" t="inlineStr"/>
      <c r="M91" s="57" t="inlineStr"/>
      <c r="N91" s="57" t="inlineStr"/>
      <c r="O91" s="57" t="inlineStr"/>
      <c r="P91" s="57">
        <f>COUNT(H91:O91)</f>
        <v/>
      </c>
      <c r="Q91" s="60">
        <f>IF(P91=0,"",COUNTIF(H91:O91,"&gt;=4")/P91)</f>
        <v/>
      </c>
      <c r="R91" s="60">
        <f>IF(P91=0,"",COUNTIF(H91:O91,"&lt;=2")/P91)</f>
        <v/>
      </c>
      <c r="S91" s="57">
        <f>IF(P91=0,"",MEDIAN(H91:O91))</f>
        <v/>
      </c>
      <c r="T91" s="57">
        <f>IF(G91&lt;&gt;"Round 2",G91,IF(P91=0,"Awaiting Round 2",IF(Q91&gt;=0.8,"Include",IF(R91&gt;=0.8,"Exclude","No consensus"))))</f>
        <v/>
      </c>
      <c r="U91" s="57" t="inlineStr"/>
    </row>
    <row r="92">
      <c r="A92" s="57" t="inlineStr">
        <is>
          <t>Peripheral arterial angioplasty +/- stenting</t>
        </is>
      </c>
      <c r="B92" s="57" t="inlineStr">
        <is>
          <t>distal embolisation</t>
        </is>
      </c>
      <c r="C92" s="57" t="inlineStr">
        <is>
          <t>Core candidate</t>
        </is>
      </c>
      <c r="D92" s="60">
        <f>'Delphi Round 1'!O92</f>
        <v/>
      </c>
      <c r="E92" s="60">
        <f>'Delphi Round 1'!P92</f>
        <v/>
      </c>
      <c r="F92" s="57">
        <f>'Delphi Round 1'!Q92</f>
        <v/>
      </c>
      <c r="G92" s="57">
        <f>'Delphi Round 1'!R92</f>
        <v/>
      </c>
      <c r="H92" s="57" t="inlineStr"/>
      <c r="I92" s="57" t="inlineStr"/>
      <c r="J92" s="57" t="inlineStr"/>
      <c r="K92" s="57" t="inlineStr"/>
      <c r="L92" s="57" t="inlineStr"/>
      <c r="M92" s="57" t="inlineStr"/>
      <c r="N92" s="57" t="inlineStr"/>
      <c r="O92" s="57" t="inlineStr"/>
      <c r="P92" s="57">
        <f>COUNT(H92:O92)</f>
        <v/>
      </c>
      <c r="Q92" s="60">
        <f>IF(P92=0,"",COUNTIF(H92:O92,"&gt;=4")/P92)</f>
        <v/>
      </c>
      <c r="R92" s="60">
        <f>IF(P92=0,"",COUNTIF(H92:O92,"&lt;=2")/P92)</f>
        <v/>
      </c>
      <c r="S92" s="57">
        <f>IF(P92=0,"",MEDIAN(H92:O92))</f>
        <v/>
      </c>
      <c r="T92" s="57">
        <f>IF(G92&lt;&gt;"Round 2",G92,IF(P92=0,"Awaiting Round 2",IF(Q92&gt;=0.8,"Include",IF(R92&gt;=0.8,"Exclude","No consensus"))))</f>
        <v/>
      </c>
      <c r="U92" s="57" t="inlineStr"/>
    </row>
    <row r="93">
      <c r="A93" s="57" t="inlineStr">
        <is>
          <t>Peripheral arterial angioplasty +/- stenting</t>
        </is>
      </c>
      <c r="B93" s="57" t="inlineStr">
        <is>
          <t>vessel perforation/rupture</t>
        </is>
      </c>
      <c r="C93" s="57" t="inlineStr">
        <is>
          <t>Core candidate</t>
        </is>
      </c>
      <c r="D93" s="60">
        <f>'Delphi Round 1'!O93</f>
        <v/>
      </c>
      <c r="E93" s="60">
        <f>'Delphi Round 1'!P93</f>
        <v/>
      </c>
      <c r="F93" s="57">
        <f>'Delphi Round 1'!Q93</f>
        <v/>
      </c>
      <c r="G93" s="57">
        <f>'Delphi Round 1'!R93</f>
        <v/>
      </c>
      <c r="H93" s="57" t="inlineStr"/>
      <c r="I93" s="57" t="inlineStr"/>
      <c r="J93" s="57" t="inlineStr"/>
      <c r="K93" s="57" t="inlineStr"/>
      <c r="L93" s="57" t="inlineStr"/>
      <c r="M93" s="57" t="inlineStr"/>
      <c r="N93" s="57" t="inlineStr"/>
      <c r="O93" s="57" t="inlineStr"/>
      <c r="P93" s="57">
        <f>COUNT(H93:O93)</f>
        <v/>
      </c>
      <c r="Q93" s="60">
        <f>IF(P93=0,"",COUNTIF(H93:O93,"&gt;=4")/P93)</f>
        <v/>
      </c>
      <c r="R93" s="60">
        <f>IF(P93=0,"",COUNTIF(H93:O93,"&lt;=2")/P93)</f>
        <v/>
      </c>
      <c r="S93" s="57">
        <f>IF(P93=0,"",MEDIAN(H93:O93))</f>
        <v/>
      </c>
      <c r="T93" s="57">
        <f>IF(G93&lt;&gt;"Round 2",G93,IF(P93=0,"Awaiting Round 2",IF(Q93&gt;=0.8,"Include",IF(R93&gt;=0.8,"Exclude","No consensus"))))</f>
        <v/>
      </c>
      <c r="U93" s="57" t="inlineStr"/>
    </row>
    <row r="94">
      <c r="A94" s="57" t="inlineStr">
        <is>
          <t>Peripheral arterial angioplasty +/- stenting</t>
        </is>
      </c>
      <c r="B94" s="57" t="inlineStr">
        <is>
          <t>acute thrombosis/occlusion</t>
        </is>
      </c>
      <c r="C94" s="57" t="inlineStr">
        <is>
          <t>Core candidate</t>
        </is>
      </c>
      <c r="D94" s="60">
        <f>'Delphi Round 1'!O94</f>
        <v/>
      </c>
      <c r="E94" s="60">
        <f>'Delphi Round 1'!P94</f>
        <v/>
      </c>
      <c r="F94" s="57">
        <f>'Delphi Round 1'!Q94</f>
        <v/>
      </c>
      <c r="G94" s="57">
        <f>'Delphi Round 1'!R94</f>
        <v/>
      </c>
      <c r="H94" s="57" t="inlineStr"/>
      <c r="I94" s="57" t="inlineStr"/>
      <c r="J94" s="57" t="inlineStr"/>
      <c r="K94" s="57" t="inlineStr"/>
      <c r="L94" s="57" t="inlineStr"/>
      <c r="M94" s="57" t="inlineStr"/>
      <c r="N94" s="57" t="inlineStr"/>
      <c r="O94" s="57" t="inlineStr"/>
      <c r="P94" s="57">
        <f>COUNT(H94:O94)</f>
        <v/>
      </c>
      <c r="Q94" s="60">
        <f>IF(P94=0,"",COUNTIF(H94:O94,"&gt;=4")/P94)</f>
        <v/>
      </c>
      <c r="R94" s="60">
        <f>IF(P94=0,"",COUNTIF(H94:O94,"&lt;=2")/P94)</f>
        <v/>
      </c>
      <c r="S94" s="57">
        <f>IF(P94=0,"",MEDIAN(H94:O94))</f>
        <v/>
      </c>
      <c r="T94" s="57">
        <f>IF(G94&lt;&gt;"Round 2",G94,IF(P94=0,"Awaiting Round 2",IF(Q94&gt;=0.8,"Include",IF(R94&gt;=0.8,"Exclude","No consensus"))))</f>
        <v/>
      </c>
      <c r="U94" s="57" t="inlineStr"/>
    </row>
    <row r="95">
      <c r="A95" s="57" t="inlineStr">
        <is>
          <t>Peripheral arterial angioplasty +/- stenting</t>
        </is>
      </c>
      <c r="B95" s="57" t="inlineStr">
        <is>
          <t>Acute limb ischaemia, limb loss, reintervention</t>
        </is>
      </c>
      <c r="C95" s="57" t="inlineStr">
        <is>
          <t>Core candidate</t>
        </is>
      </c>
      <c r="D95" s="60">
        <f>'Delphi Round 1'!O95</f>
        <v/>
      </c>
      <c r="E95" s="60">
        <f>'Delphi Round 1'!P95</f>
        <v/>
      </c>
      <c r="F95" s="57">
        <f>'Delphi Round 1'!Q95</f>
        <v/>
      </c>
      <c r="G95" s="57">
        <f>'Delphi Round 1'!R95</f>
        <v/>
      </c>
      <c r="H95" s="57" t="inlineStr"/>
      <c r="I95" s="57" t="inlineStr"/>
      <c r="J95" s="57" t="inlineStr"/>
      <c r="K95" s="57" t="inlineStr"/>
      <c r="L95" s="57" t="inlineStr"/>
      <c r="M95" s="57" t="inlineStr"/>
      <c r="N95" s="57" t="inlineStr"/>
      <c r="O95" s="57" t="inlineStr"/>
      <c r="P95" s="57">
        <f>COUNT(H95:O95)</f>
        <v/>
      </c>
      <c r="Q95" s="60">
        <f>IF(P95=0,"",COUNTIF(H95:O95,"&gt;=4")/P95)</f>
        <v/>
      </c>
      <c r="R95" s="60">
        <f>IF(P95=0,"",COUNTIF(H95:O95,"&lt;=2")/P95)</f>
        <v/>
      </c>
      <c r="S95" s="57">
        <f>IF(P95=0,"",MEDIAN(H95:O95))</f>
        <v/>
      </c>
      <c r="T95" s="57">
        <f>IF(G95&lt;&gt;"Round 2",G95,IF(P95=0,"Awaiting Round 2",IF(Q95&gt;=0.8,"Include",IF(R95&gt;=0.8,"Exclude","No consensus"))))</f>
        <v/>
      </c>
      <c r="U95" s="57" t="inlineStr"/>
    </row>
    <row r="96">
      <c r="A96" s="57" t="inlineStr">
        <is>
          <t>Peripheral arterial angioplasty +/- stenting</t>
        </is>
      </c>
      <c r="B96" s="57" t="inlineStr">
        <is>
          <t>Access bleeding/haematoma, pseudoaneurysm, AV fistula, arterial injury</t>
        </is>
      </c>
      <c r="C96" s="57" t="inlineStr">
        <is>
          <t>Core candidate</t>
        </is>
      </c>
      <c r="D96" s="60">
        <f>'Delphi Round 1'!O96</f>
        <v/>
      </c>
      <c r="E96" s="60">
        <f>'Delphi Round 1'!P96</f>
        <v/>
      </c>
      <c r="F96" s="57">
        <f>'Delphi Round 1'!Q96</f>
        <v/>
      </c>
      <c r="G96" s="57">
        <f>'Delphi Round 1'!R96</f>
        <v/>
      </c>
      <c r="H96" s="57" t="inlineStr"/>
      <c r="I96" s="57" t="inlineStr"/>
      <c r="J96" s="57" t="inlineStr"/>
      <c r="K96" s="57" t="inlineStr"/>
      <c r="L96" s="57" t="inlineStr"/>
      <c r="M96" s="57" t="inlineStr"/>
      <c r="N96" s="57" t="inlineStr"/>
      <c r="O96" s="57" t="inlineStr"/>
      <c r="P96" s="57">
        <f>COUNT(H96:O96)</f>
        <v/>
      </c>
      <c r="Q96" s="60">
        <f>IF(P96=0,"",COUNTIF(H96:O96,"&gt;=4")/P96)</f>
        <v/>
      </c>
      <c r="R96" s="60">
        <f>IF(P96=0,"",COUNTIF(H96:O96,"&lt;=2")/P96)</f>
        <v/>
      </c>
      <c r="S96" s="57">
        <f>IF(P96=0,"",MEDIAN(H96:O96))</f>
        <v/>
      </c>
      <c r="T96" s="57">
        <f>IF(G96&lt;&gt;"Round 2",G96,IF(P96=0,"Awaiting Round 2",IF(Q96&gt;=0.8,"Include",IF(R96&gt;=0.8,"Exclude","No consensus"))))</f>
        <v/>
      </c>
      <c r="U96" s="57" t="inlineStr"/>
    </row>
    <row r="97">
      <c r="A97" s="57" t="inlineStr">
        <is>
          <t>Peripheral arterial angioplasty +/- stenting</t>
        </is>
      </c>
      <c r="B97" s="57" t="inlineStr">
        <is>
          <t>Contrast reaction/AKI</t>
        </is>
      </c>
      <c r="C97" s="57" t="inlineStr">
        <is>
          <t>Conditional / patient-specific</t>
        </is>
      </c>
      <c r="D97" s="60">
        <f>'Delphi Round 1'!O97</f>
        <v/>
      </c>
      <c r="E97" s="60">
        <f>'Delphi Round 1'!P97</f>
        <v/>
      </c>
      <c r="F97" s="57">
        <f>'Delphi Round 1'!Q97</f>
        <v/>
      </c>
      <c r="G97" s="57">
        <f>'Delphi Round 1'!R97</f>
        <v/>
      </c>
      <c r="H97" s="57" t="inlineStr"/>
      <c r="I97" s="57" t="inlineStr"/>
      <c r="J97" s="57" t="inlineStr"/>
      <c r="K97" s="57" t="inlineStr"/>
      <c r="L97" s="57" t="inlineStr"/>
      <c r="M97" s="57" t="inlineStr"/>
      <c r="N97" s="57" t="inlineStr"/>
      <c r="O97" s="57" t="inlineStr"/>
      <c r="P97" s="57">
        <f>COUNT(H97:O97)</f>
        <v/>
      </c>
      <c r="Q97" s="60">
        <f>IF(P97=0,"",COUNTIF(H97:O97,"&gt;=4")/P97)</f>
        <v/>
      </c>
      <c r="R97" s="60">
        <f>IF(P97=0,"",COUNTIF(H97:O97,"&lt;=2")/P97)</f>
        <v/>
      </c>
      <c r="S97" s="57">
        <f>IF(P97=0,"",MEDIAN(H97:O97))</f>
        <v/>
      </c>
      <c r="T97" s="57">
        <f>IF(G97&lt;&gt;"Round 2",G97,IF(P97=0,"Awaiting Round 2",IF(Q97&gt;=0.8,"Include",IF(R97&gt;=0.8,"Exclude","No consensus"))))</f>
        <v/>
      </c>
      <c r="U97" s="57" t="inlineStr"/>
    </row>
    <row r="98">
      <c r="A98" s="57" t="inlineStr">
        <is>
          <t>Peripheral arterial angioplasty +/- stenting</t>
        </is>
      </c>
      <c r="B98" s="57" t="inlineStr">
        <is>
          <t>radiation</t>
        </is>
      </c>
      <c r="C98" s="57" t="inlineStr">
        <is>
          <t>Conditional / patient-specific</t>
        </is>
      </c>
      <c r="D98" s="60">
        <f>'Delphi Round 1'!O98</f>
        <v/>
      </c>
      <c r="E98" s="60">
        <f>'Delphi Round 1'!P98</f>
        <v/>
      </c>
      <c r="F98" s="57">
        <f>'Delphi Round 1'!Q98</f>
        <v/>
      </c>
      <c r="G98" s="57">
        <f>'Delphi Round 1'!R98</f>
        <v/>
      </c>
      <c r="H98" s="57" t="inlineStr"/>
      <c r="I98" s="57" t="inlineStr"/>
      <c r="J98" s="57" t="inlineStr"/>
      <c r="K98" s="57" t="inlineStr"/>
      <c r="L98" s="57" t="inlineStr"/>
      <c r="M98" s="57" t="inlineStr"/>
      <c r="N98" s="57" t="inlineStr"/>
      <c r="O98" s="57" t="inlineStr"/>
      <c r="P98" s="57">
        <f>COUNT(H98:O98)</f>
        <v/>
      </c>
      <c r="Q98" s="60">
        <f>IF(P98=0,"",COUNTIF(H98:O98,"&gt;=4")/P98)</f>
        <v/>
      </c>
      <c r="R98" s="60">
        <f>IF(P98=0,"",COUNTIF(H98:O98,"&lt;=2")/P98)</f>
        <v/>
      </c>
      <c r="S98" s="57">
        <f>IF(P98=0,"",MEDIAN(H98:O98))</f>
        <v/>
      </c>
      <c r="T98" s="57">
        <f>IF(G98&lt;&gt;"Round 2",G98,IF(P98=0,"Awaiting Round 2",IF(Q98&gt;=0.8,"Include",IF(R98&gt;=0.8,"Exclude","No consensus"))))</f>
        <v/>
      </c>
      <c r="U98" s="57" t="inlineStr"/>
    </row>
    <row r="99">
      <c r="A99" s="57" t="inlineStr">
        <is>
          <t>Peripheral arterial angioplasty +/- stenting</t>
        </is>
      </c>
      <c r="B99" s="57" t="inlineStr">
        <is>
          <t>device-specific risk as applicable</t>
        </is>
      </c>
      <c r="C99" s="57" t="inlineStr">
        <is>
          <t>Conditional / patient-specific</t>
        </is>
      </c>
      <c r="D99" s="60">
        <f>'Delphi Round 1'!O99</f>
        <v/>
      </c>
      <c r="E99" s="60">
        <f>'Delphi Round 1'!P99</f>
        <v/>
      </c>
      <c r="F99" s="57">
        <f>'Delphi Round 1'!Q99</f>
        <v/>
      </c>
      <c r="G99" s="57">
        <f>'Delphi Round 1'!R99</f>
        <v/>
      </c>
      <c r="H99" s="57" t="inlineStr"/>
      <c r="I99" s="57" t="inlineStr"/>
      <c r="J99" s="57" t="inlineStr"/>
      <c r="K99" s="57" t="inlineStr"/>
      <c r="L99" s="57" t="inlineStr"/>
      <c r="M99" s="57" t="inlineStr"/>
      <c r="N99" s="57" t="inlineStr"/>
      <c r="O99" s="57" t="inlineStr"/>
      <c r="P99" s="57">
        <f>COUNT(H99:O99)</f>
        <v/>
      </c>
      <c r="Q99" s="60">
        <f>IF(P99=0,"",COUNTIF(H99:O99,"&gt;=4")/P99)</f>
        <v/>
      </c>
      <c r="R99" s="60">
        <f>IF(P99=0,"",COUNTIF(H99:O99,"&lt;=2")/P99)</f>
        <v/>
      </c>
      <c r="S99" s="57">
        <f>IF(P99=0,"",MEDIAN(H99:O99))</f>
        <v/>
      </c>
      <c r="T99" s="57">
        <f>IF(G99&lt;&gt;"Round 2",G99,IF(P99=0,"Awaiting Round 2",IF(Q99&gt;=0.8,"Include",IF(R99&gt;=0.8,"Exclude","No consensus"))))</f>
        <v/>
      </c>
      <c r="U99" s="57" t="inlineStr"/>
    </row>
    <row r="100">
      <c r="A100" s="57" t="inlineStr">
        <is>
          <t>Peripheral arterial angioplasty +/- stenting</t>
        </is>
      </c>
      <c r="B100" s="57" t="inlineStr">
        <is>
          <t>Arterial territory, CLTI vs claudication, access, DCB/stent type, runoff</t>
        </is>
      </c>
      <c r="C100" s="57" t="inlineStr">
        <is>
          <t>Conditional / patient-specific</t>
        </is>
      </c>
      <c r="D100" s="60">
        <f>'Delphi Round 1'!O100</f>
        <v/>
      </c>
      <c r="E100" s="60">
        <f>'Delphi Round 1'!P100</f>
        <v/>
      </c>
      <c r="F100" s="57">
        <f>'Delphi Round 1'!Q100</f>
        <v/>
      </c>
      <c r="G100" s="57">
        <f>'Delphi Round 1'!R100</f>
        <v/>
      </c>
      <c r="H100" s="57" t="inlineStr"/>
      <c r="I100" s="57" t="inlineStr"/>
      <c r="J100" s="57" t="inlineStr"/>
      <c r="K100" s="57" t="inlineStr"/>
      <c r="L100" s="57" t="inlineStr"/>
      <c r="M100" s="57" t="inlineStr"/>
      <c r="N100" s="57" t="inlineStr"/>
      <c r="O100" s="57" t="inlineStr"/>
      <c r="P100" s="57">
        <f>COUNT(H100:O100)</f>
        <v/>
      </c>
      <c r="Q100" s="60">
        <f>IF(P100=0,"",COUNTIF(H100:O100,"&gt;=4")/P100)</f>
        <v/>
      </c>
      <c r="R100" s="60">
        <f>IF(P100=0,"",COUNTIF(H100:O100,"&lt;=2")/P100)</f>
        <v/>
      </c>
      <c r="S100" s="57">
        <f>IF(P100=0,"",MEDIAN(H100:O100))</f>
        <v/>
      </c>
      <c r="T100" s="57">
        <f>IF(G100&lt;&gt;"Round 2",G100,IF(P100=0,"Awaiting Round 2",IF(Q100&gt;=0.8,"Include",IF(R100&gt;=0.8,"Exclude","No consensus"))))</f>
        <v/>
      </c>
      <c r="U100" s="57" t="inlineStr"/>
    </row>
    <row r="101">
      <c r="A101" s="57" t="inlineStr">
        <is>
          <t>Portal vein embolisation (PVE)</t>
        </is>
      </c>
      <c r="B101" s="57" t="inlineStr">
        <is>
          <t>Access/transhepatic pain</t>
        </is>
      </c>
      <c r="C101" s="57" t="inlineStr">
        <is>
          <t>Core candidate</t>
        </is>
      </c>
      <c r="D101" s="60">
        <f>'Delphi Round 1'!O101</f>
        <v/>
      </c>
      <c r="E101" s="60">
        <f>'Delphi Round 1'!P101</f>
        <v/>
      </c>
      <c r="F101" s="57">
        <f>'Delphi Round 1'!Q101</f>
        <v/>
      </c>
      <c r="G101" s="57">
        <f>'Delphi Round 1'!R101</f>
        <v/>
      </c>
      <c r="H101" s="57" t="inlineStr"/>
      <c r="I101" s="57" t="inlineStr"/>
      <c r="J101" s="57" t="inlineStr"/>
      <c r="K101" s="57" t="inlineStr"/>
      <c r="L101" s="57" t="inlineStr"/>
      <c r="M101" s="57" t="inlineStr"/>
      <c r="N101" s="57" t="inlineStr"/>
      <c r="O101" s="57" t="inlineStr"/>
      <c r="P101" s="57">
        <f>COUNT(H101:O101)</f>
        <v/>
      </c>
      <c r="Q101" s="60">
        <f>IF(P101=0,"",COUNTIF(H101:O101,"&gt;=4")/P101)</f>
        <v/>
      </c>
      <c r="R101" s="60">
        <f>IF(P101=0,"",COUNTIF(H101:O101,"&lt;=2")/P101)</f>
        <v/>
      </c>
      <c r="S101" s="57">
        <f>IF(P101=0,"",MEDIAN(H101:O101))</f>
        <v/>
      </c>
      <c r="T101" s="57">
        <f>IF(G101&lt;&gt;"Round 2",G101,IF(P101=0,"Awaiting Round 2",IF(Q101&gt;=0.8,"Include",IF(R101&gt;=0.8,"Exclude","No consensus"))))</f>
        <v/>
      </c>
      <c r="U101" s="57" t="inlineStr"/>
    </row>
    <row r="102">
      <c r="A102" s="57" t="inlineStr">
        <is>
          <t>Portal vein embolisation (PVE)</t>
        </is>
      </c>
      <c r="B102" s="57" t="inlineStr">
        <is>
          <t>failure to achieve planned hypertrophy</t>
        </is>
      </c>
      <c r="C102" s="57" t="inlineStr">
        <is>
          <t>Core candidate</t>
        </is>
      </c>
      <c r="D102" s="60">
        <f>'Delphi Round 1'!O102</f>
        <v/>
      </c>
      <c r="E102" s="60">
        <f>'Delphi Round 1'!P102</f>
        <v/>
      </c>
      <c r="F102" s="57">
        <f>'Delphi Round 1'!Q102</f>
        <v/>
      </c>
      <c r="G102" s="57">
        <f>'Delphi Round 1'!R102</f>
        <v/>
      </c>
      <c r="H102" s="57" t="inlineStr"/>
      <c r="I102" s="57" t="inlineStr"/>
      <c r="J102" s="57" t="inlineStr"/>
      <c r="K102" s="57" t="inlineStr"/>
      <c r="L102" s="57" t="inlineStr"/>
      <c r="M102" s="57" t="inlineStr"/>
      <c r="N102" s="57" t="inlineStr"/>
      <c r="O102" s="57" t="inlineStr"/>
      <c r="P102" s="57">
        <f>COUNT(H102:O102)</f>
        <v/>
      </c>
      <c r="Q102" s="60">
        <f>IF(P102=0,"",COUNTIF(H102:O102,"&gt;=4")/P102)</f>
        <v/>
      </c>
      <c r="R102" s="60">
        <f>IF(P102=0,"",COUNTIF(H102:O102,"&lt;=2")/P102)</f>
        <v/>
      </c>
      <c r="S102" s="57">
        <f>IF(P102=0,"",MEDIAN(H102:O102))</f>
        <v/>
      </c>
      <c r="T102" s="57">
        <f>IF(G102&lt;&gt;"Round 2",G102,IF(P102=0,"Awaiting Round 2",IF(Q102&gt;=0.8,"Include",IF(R102&gt;=0.8,"Exclude","No consensus"))))</f>
        <v/>
      </c>
      <c r="U102" s="57" t="inlineStr"/>
    </row>
    <row r="103">
      <c r="A103" s="57" t="inlineStr">
        <is>
          <t>Portal vein embolisation (PVE)</t>
        </is>
      </c>
      <c r="B103" s="57" t="inlineStr">
        <is>
          <t>Portal vein thrombosis/extension</t>
        </is>
      </c>
      <c r="C103" s="57" t="inlineStr">
        <is>
          <t>Core candidate</t>
        </is>
      </c>
      <c r="D103" s="60">
        <f>'Delphi Round 1'!O103</f>
        <v/>
      </c>
      <c r="E103" s="60">
        <f>'Delphi Round 1'!P103</f>
        <v/>
      </c>
      <c r="F103" s="57">
        <f>'Delphi Round 1'!Q103</f>
        <v/>
      </c>
      <c r="G103" s="57">
        <f>'Delphi Round 1'!R103</f>
        <v/>
      </c>
      <c r="H103" s="57" t="inlineStr"/>
      <c r="I103" s="57" t="inlineStr"/>
      <c r="J103" s="57" t="inlineStr"/>
      <c r="K103" s="57" t="inlineStr"/>
      <c r="L103" s="57" t="inlineStr"/>
      <c r="M103" s="57" t="inlineStr"/>
      <c r="N103" s="57" t="inlineStr"/>
      <c r="O103" s="57" t="inlineStr"/>
      <c r="P103" s="57">
        <f>COUNT(H103:O103)</f>
        <v/>
      </c>
      <c r="Q103" s="60">
        <f>IF(P103=0,"",COUNTIF(H103:O103,"&gt;=4")/P103)</f>
        <v/>
      </c>
      <c r="R103" s="60">
        <f>IF(P103=0,"",COUNTIF(H103:O103,"&lt;=2")/P103)</f>
        <v/>
      </c>
      <c r="S103" s="57">
        <f>IF(P103=0,"",MEDIAN(H103:O103))</f>
        <v/>
      </c>
      <c r="T103" s="57">
        <f>IF(G103&lt;&gt;"Round 2",G103,IF(P103=0,"Awaiting Round 2",IF(Q103&gt;=0.8,"Include",IF(R103&gt;=0.8,"Exclude","No consensus"))))</f>
        <v/>
      </c>
      <c r="U103" s="57" t="inlineStr"/>
    </row>
    <row r="104">
      <c r="A104" s="57" t="inlineStr">
        <is>
          <t>Portal vein embolisation (PVE)</t>
        </is>
      </c>
      <c r="B104" s="57" t="inlineStr">
        <is>
          <t>infection, cholangitis, abscess or sepsis</t>
        </is>
      </c>
      <c r="C104" s="57" t="inlineStr">
        <is>
          <t>Core candidate</t>
        </is>
      </c>
      <c r="D104" s="60">
        <f>'Delphi Round 1'!O104</f>
        <v/>
      </c>
      <c r="E104" s="60">
        <f>'Delphi Round 1'!P104</f>
        <v/>
      </c>
      <c r="F104" s="57">
        <f>'Delphi Round 1'!Q104</f>
        <v/>
      </c>
      <c r="G104" s="57">
        <f>'Delphi Round 1'!R104</f>
        <v/>
      </c>
      <c r="H104" s="57" t="inlineStr"/>
      <c r="I104" s="57" t="inlineStr"/>
      <c r="J104" s="57" t="inlineStr"/>
      <c r="K104" s="57" t="inlineStr"/>
      <c r="L104" s="57" t="inlineStr"/>
      <c r="M104" s="57" t="inlineStr"/>
      <c r="N104" s="57" t="inlineStr"/>
      <c r="O104" s="57" t="inlineStr"/>
      <c r="P104" s="57">
        <f>COUNT(H104:O104)</f>
        <v/>
      </c>
      <c r="Q104" s="60">
        <f>IF(P104=0,"",COUNTIF(H104:O104,"&gt;=4")/P104)</f>
        <v/>
      </c>
      <c r="R104" s="60">
        <f>IF(P104=0,"",COUNTIF(H104:O104,"&lt;=2")/P104)</f>
        <v/>
      </c>
      <c r="S104" s="57">
        <f>IF(P104=0,"",MEDIAN(H104:O104))</f>
        <v/>
      </c>
      <c r="T104" s="57">
        <f>IF(G104&lt;&gt;"Round 2",G104,IF(P104=0,"Awaiting Round 2",IF(Q104&gt;=0.8,"Include",IF(R104&gt;=0.8,"Exclude","No consensus"))))</f>
        <v/>
      </c>
      <c r="U104" s="57" t="inlineStr"/>
    </row>
    <row r="105">
      <c r="A105" s="57" t="inlineStr">
        <is>
          <t>Portal vein embolisation (PVE)</t>
        </is>
      </c>
      <c r="B105" s="57" t="inlineStr">
        <is>
          <t>Non-target embolisation</t>
        </is>
      </c>
      <c r="C105" s="57" t="inlineStr">
        <is>
          <t>Core candidate</t>
        </is>
      </c>
      <c r="D105" s="60">
        <f>'Delphi Round 1'!O105</f>
        <v/>
      </c>
      <c r="E105" s="60">
        <f>'Delphi Round 1'!P105</f>
        <v/>
      </c>
      <c r="F105" s="57">
        <f>'Delphi Round 1'!Q105</f>
        <v/>
      </c>
      <c r="G105" s="57">
        <f>'Delphi Round 1'!R105</f>
        <v/>
      </c>
      <c r="H105" s="57" t="inlineStr"/>
      <c r="I105" s="57" t="inlineStr"/>
      <c r="J105" s="57" t="inlineStr"/>
      <c r="K105" s="57" t="inlineStr"/>
      <c r="L105" s="57" t="inlineStr"/>
      <c r="M105" s="57" t="inlineStr"/>
      <c r="N105" s="57" t="inlineStr"/>
      <c r="O105" s="57" t="inlineStr"/>
      <c r="P105" s="57">
        <f>COUNT(H105:O105)</f>
        <v/>
      </c>
      <c r="Q105" s="60">
        <f>IF(P105=0,"",COUNTIF(H105:O105,"&gt;=4")/P105)</f>
        <v/>
      </c>
      <c r="R105" s="60">
        <f>IF(P105=0,"",COUNTIF(H105:O105,"&lt;=2")/P105)</f>
        <v/>
      </c>
      <c r="S105" s="57">
        <f>IF(P105=0,"",MEDIAN(H105:O105))</f>
        <v/>
      </c>
      <c r="T105" s="57">
        <f>IF(G105&lt;&gt;"Round 2",G105,IF(P105=0,"Awaiting Round 2",IF(Q105&gt;=0.8,"Include",IF(R105&gt;=0.8,"Exclude","No consensus"))))</f>
        <v/>
      </c>
      <c r="U105" s="57" t="inlineStr"/>
    </row>
    <row r="106">
      <c r="A106" s="57" t="inlineStr">
        <is>
          <t>Portal vein embolisation (PVE)</t>
        </is>
      </c>
      <c r="B106" s="57" t="inlineStr">
        <is>
          <t>liver failure after subsequent surgery</t>
        </is>
      </c>
      <c r="C106" s="57" t="inlineStr">
        <is>
          <t>Core candidate</t>
        </is>
      </c>
      <c r="D106" s="60">
        <f>'Delphi Round 1'!O106</f>
        <v/>
      </c>
      <c r="E106" s="60">
        <f>'Delphi Round 1'!P106</f>
        <v/>
      </c>
      <c r="F106" s="57">
        <f>'Delphi Round 1'!Q106</f>
        <v/>
      </c>
      <c r="G106" s="57">
        <f>'Delphi Round 1'!R106</f>
        <v/>
      </c>
      <c r="H106" s="57" t="inlineStr"/>
      <c r="I106" s="57" t="inlineStr"/>
      <c r="J106" s="57" t="inlineStr"/>
      <c r="K106" s="57" t="inlineStr"/>
      <c r="L106" s="57" t="inlineStr"/>
      <c r="M106" s="57" t="inlineStr"/>
      <c r="N106" s="57" t="inlineStr"/>
      <c r="O106" s="57" t="inlineStr"/>
      <c r="P106" s="57">
        <f>COUNT(H106:O106)</f>
        <v/>
      </c>
      <c r="Q106" s="60">
        <f>IF(P106=0,"",COUNTIF(H106:O106,"&gt;=4")/P106)</f>
        <v/>
      </c>
      <c r="R106" s="60">
        <f>IF(P106=0,"",COUNTIF(H106:O106,"&lt;=2")/P106)</f>
        <v/>
      </c>
      <c r="S106" s="57">
        <f>IF(P106=0,"",MEDIAN(H106:O106))</f>
        <v/>
      </c>
      <c r="T106" s="57">
        <f>IF(G106&lt;&gt;"Round 2",G106,IF(P106=0,"Awaiting Round 2",IF(Q106&gt;=0.8,"Include",IF(R106&gt;=0.8,"Exclude","No consensus"))))</f>
        <v/>
      </c>
      <c r="U106" s="57" t="inlineStr"/>
    </row>
    <row r="107">
      <c r="A107" s="57" t="inlineStr">
        <is>
          <t>Portal vein embolisation (PVE)</t>
        </is>
      </c>
      <c r="B107" s="57" t="inlineStr">
        <is>
          <t>unable to proceed to hepatectomy</t>
        </is>
      </c>
      <c r="C107" s="57" t="inlineStr">
        <is>
          <t>Core candidate</t>
        </is>
      </c>
      <c r="D107" s="60">
        <f>'Delphi Round 1'!O107</f>
        <v/>
      </c>
      <c r="E107" s="60">
        <f>'Delphi Round 1'!P107</f>
        <v/>
      </c>
      <c r="F107" s="57">
        <f>'Delphi Round 1'!Q107</f>
        <v/>
      </c>
      <c r="G107" s="57">
        <f>'Delphi Round 1'!R107</f>
        <v/>
      </c>
      <c r="H107" s="57" t="inlineStr"/>
      <c r="I107" s="57" t="inlineStr"/>
      <c r="J107" s="57" t="inlineStr"/>
      <c r="K107" s="57" t="inlineStr"/>
      <c r="L107" s="57" t="inlineStr"/>
      <c r="M107" s="57" t="inlineStr"/>
      <c r="N107" s="57" t="inlineStr"/>
      <c r="O107" s="57" t="inlineStr"/>
      <c r="P107" s="57">
        <f>COUNT(H107:O107)</f>
        <v/>
      </c>
      <c r="Q107" s="60">
        <f>IF(P107=0,"",COUNTIF(H107:O107,"&gt;=4")/P107)</f>
        <v/>
      </c>
      <c r="R107" s="60">
        <f>IF(P107=0,"",COUNTIF(H107:O107,"&lt;=2")/P107)</f>
        <v/>
      </c>
      <c r="S107" s="57">
        <f>IF(P107=0,"",MEDIAN(H107:O107))</f>
        <v/>
      </c>
      <c r="T107" s="57">
        <f>IF(G107&lt;&gt;"Round 2",G107,IF(P107=0,"Awaiting Round 2",IF(Q107&gt;=0.8,"Include",IF(R107&gt;=0.8,"Exclude","No consensus"))))</f>
        <v/>
      </c>
      <c r="U107" s="57" t="inlineStr"/>
    </row>
    <row r="108">
      <c r="A108" s="57" t="inlineStr">
        <is>
          <t>Portal vein embolisation (PVE)</t>
        </is>
      </c>
      <c r="B108" s="57" t="inlineStr">
        <is>
          <t>Transhepatic puncture bleeding</t>
        </is>
      </c>
      <c r="C108" s="57" t="inlineStr">
        <is>
          <t>Core candidate</t>
        </is>
      </c>
      <c r="D108" s="60">
        <f>'Delphi Round 1'!O108</f>
        <v/>
      </c>
      <c r="E108" s="60">
        <f>'Delphi Round 1'!P108</f>
        <v/>
      </c>
      <c r="F108" s="57">
        <f>'Delphi Round 1'!Q108</f>
        <v/>
      </c>
      <c r="G108" s="57">
        <f>'Delphi Round 1'!R108</f>
        <v/>
      </c>
      <c r="H108" s="57" t="inlineStr"/>
      <c r="I108" s="57" t="inlineStr"/>
      <c r="J108" s="57" t="inlineStr"/>
      <c r="K108" s="57" t="inlineStr"/>
      <c r="L108" s="57" t="inlineStr"/>
      <c r="M108" s="57" t="inlineStr"/>
      <c r="N108" s="57" t="inlineStr"/>
      <c r="O108" s="57" t="inlineStr"/>
      <c r="P108" s="57">
        <f>COUNT(H108:O108)</f>
        <v/>
      </c>
      <c r="Q108" s="60">
        <f>IF(P108=0,"",COUNTIF(H108:O108,"&gt;=4")/P108)</f>
        <v/>
      </c>
      <c r="R108" s="60">
        <f>IF(P108=0,"",COUNTIF(H108:O108,"&lt;=2")/P108)</f>
        <v/>
      </c>
      <c r="S108" s="57">
        <f>IF(P108=0,"",MEDIAN(H108:O108))</f>
        <v/>
      </c>
      <c r="T108" s="57">
        <f>IF(G108&lt;&gt;"Round 2",G108,IF(P108=0,"Awaiting Round 2",IF(Q108&gt;=0.8,"Include",IF(R108&gt;=0.8,"Exclude","No consensus"))))</f>
        <v/>
      </c>
      <c r="U108" s="57" t="inlineStr"/>
    </row>
    <row r="109">
      <c r="A109" s="57" t="inlineStr">
        <is>
          <t>Portal vein embolisation (PVE)</t>
        </is>
      </c>
      <c r="B109" s="57" t="inlineStr">
        <is>
          <t>Contrast reaction/AKI</t>
        </is>
      </c>
      <c r="C109" s="57" t="inlineStr">
        <is>
          <t>Conditional / patient-specific</t>
        </is>
      </c>
      <c r="D109" s="60">
        <f>'Delphi Round 1'!O109</f>
        <v/>
      </c>
      <c r="E109" s="60">
        <f>'Delphi Round 1'!P109</f>
        <v/>
      </c>
      <c r="F109" s="57">
        <f>'Delphi Round 1'!Q109</f>
        <v/>
      </c>
      <c r="G109" s="57">
        <f>'Delphi Round 1'!R109</f>
        <v/>
      </c>
      <c r="H109" s="57" t="inlineStr"/>
      <c r="I109" s="57" t="inlineStr"/>
      <c r="J109" s="57" t="inlineStr"/>
      <c r="K109" s="57" t="inlineStr"/>
      <c r="L109" s="57" t="inlineStr"/>
      <c r="M109" s="57" t="inlineStr"/>
      <c r="N109" s="57" t="inlineStr"/>
      <c r="O109" s="57" t="inlineStr"/>
      <c r="P109" s="57">
        <f>COUNT(H109:O109)</f>
        <v/>
      </c>
      <c r="Q109" s="60">
        <f>IF(P109=0,"",COUNTIF(H109:O109,"&gt;=4")/P109)</f>
        <v/>
      </c>
      <c r="R109" s="60">
        <f>IF(P109=0,"",COUNTIF(H109:O109,"&lt;=2")/P109)</f>
        <v/>
      </c>
      <c r="S109" s="57">
        <f>IF(P109=0,"",MEDIAN(H109:O109))</f>
        <v/>
      </c>
      <c r="T109" s="57">
        <f>IF(G109&lt;&gt;"Round 2",G109,IF(P109=0,"Awaiting Round 2",IF(Q109&gt;=0.8,"Include",IF(R109&gt;=0.8,"Exclude","No consensus"))))</f>
        <v/>
      </c>
      <c r="U109" s="57" t="inlineStr"/>
    </row>
    <row r="110">
      <c r="A110" s="57" t="inlineStr">
        <is>
          <t>Portal vein embolisation (PVE)</t>
        </is>
      </c>
      <c r="B110" s="57" t="inlineStr">
        <is>
          <t>radiation exposure</t>
        </is>
      </c>
      <c r="C110" s="57" t="inlineStr">
        <is>
          <t>Conditional / patient-specific</t>
        </is>
      </c>
      <c r="D110" s="60">
        <f>'Delphi Round 1'!O110</f>
        <v/>
      </c>
      <c r="E110" s="60">
        <f>'Delphi Round 1'!P110</f>
        <v/>
      </c>
      <c r="F110" s="57">
        <f>'Delphi Round 1'!Q110</f>
        <v/>
      </c>
      <c r="G110" s="57">
        <f>'Delphi Round 1'!R110</f>
        <v/>
      </c>
      <c r="H110" s="57" t="inlineStr"/>
      <c r="I110" s="57" t="inlineStr"/>
      <c r="J110" s="57" t="inlineStr"/>
      <c r="K110" s="57" t="inlineStr"/>
      <c r="L110" s="57" t="inlineStr"/>
      <c r="M110" s="57" t="inlineStr"/>
      <c r="N110" s="57" t="inlineStr"/>
      <c r="O110" s="57" t="inlineStr"/>
      <c r="P110" s="57">
        <f>COUNT(H110:O110)</f>
        <v/>
      </c>
      <c r="Q110" s="60">
        <f>IF(P110=0,"",COUNTIF(H110:O110,"&gt;=4")/P110)</f>
        <v/>
      </c>
      <c r="R110" s="60">
        <f>IF(P110=0,"",COUNTIF(H110:O110,"&lt;=2")/P110)</f>
        <v/>
      </c>
      <c r="S110" s="57">
        <f>IF(P110=0,"",MEDIAN(H110:O110))</f>
        <v/>
      </c>
      <c r="T110" s="57">
        <f>IF(G110&lt;&gt;"Round 2",G110,IF(P110=0,"Awaiting Round 2",IF(Q110&gt;=0.8,"Include",IF(R110&gt;=0.8,"Exclude","No consensus"))))</f>
        <v/>
      </c>
      <c r="U110" s="57" t="inlineStr"/>
    </row>
    <row r="111">
      <c r="A111" s="57" t="inlineStr">
        <is>
          <t>Portal vein embolisation (PVE)</t>
        </is>
      </c>
      <c r="B111" s="57" t="inlineStr">
        <is>
          <t>PVE vs LVD/double-vein technique, embolic agent, liver status and surgical plan</t>
        </is>
      </c>
      <c r="C111" s="57" t="inlineStr">
        <is>
          <t>Conditional / patient-specific</t>
        </is>
      </c>
      <c r="D111" s="60">
        <f>'Delphi Round 1'!O111</f>
        <v/>
      </c>
      <c r="E111" s="60">
        <f>'Delphi Round 1'!P111</f>
        <v/>
      </c>
      <c r="F111" s="57">
        <f>'Delphi Round 1'!Q111</f>
        <v/>
      </c>
      <c r="G111" s="57">
        <f>'Delphi Round 1'!R111</f>
        <v/>
      </c>
      <c r="H111" s="57" t="inlineStr"/>
      <c r="I111" s="57" t="inlineStr"/>
      <c r="J111" s="57" t="inlineStr"/>
      <c r="K111" s="57" t="inlineStr"/>
      <c r="L111" s="57" t="inlineStr"/>
      <c r="M111" s="57" t="inlineStr"/>
      <c r="N111" s="57" t="inlineStr"/>
      <c r="O111" s="57" t="inlineStr"/>
      <c r="P111" s="57">
        <f>COUNT(H111:O111)</f>
        <v/>
      </c>
      <c r="Q111" s="60">
        <f>IF(P111=0,"",COUNTIF(H111:O111,"&gt;=4")/P111)</f>
        <v/>
      </c>
      <c r="R111" s="60">
        <f>IF(P111=0,"",COUNTIF(H111:O111,"&lt;=2")/P111)</f>
        <v/>
      </c>
      <c r="S111" s="57">
        <f>IF(P111=0,"",MEDIAN(H111:O111))</f>
        <v/>
      </c>
      <c r="T111" s="57">
        <f>IF(G111&lt;&gt;"Round 2",G111,IF(P111=0,"Awaiting Round 2",IF(Q111&gt;=0.8,"Include",IF(R111&gt;=0.8,"Exclude","No consensus"))))</f>
        <v/>
      </c>
      <c r="U111" s="57" t="inlineStr"/>
    </row>
    <row r="112">
      <c r="A112" s="57" t="inlineStr">
        <is>
          <t>Prostatic artery embolisation (PAE)</t>
        </is>
      </c>
      <c r="B112" s="57" t="inlineStr">
        <is>
          <t>Transient dysuria, frequency/urgency, haematuria, rectal bleeding or post-embolisation symptoms</t>
        </is>
      </c>
      <c r="C112" s="57" t="inlineStr">
        <is>
          <t>Core candidate</t>
        </is>
      </c>
      <c r="D112" s="60">
        <f>'Delphi Round 1'!O112</f>
        <v/>
      </c>
      <c r="E112" s="60">
        <f>'Delphi Round 1'!P112</f>
        <v/>
      </c>
      <c r="F112" s="57">
        <f>'Delphi Round 1'!Q112</f>
        <v/>
      </c>
      <c r="G112" s="57">
        <f>'Delphi Round 1'!R112</f>
        <v/>
      </c>
      <c r="H112" s="57" t="inlineStr"/>
      <c r="I112" s="57" t="inlineStr"/>
      <c r="J112" s="57" t="inlineStr"/>
      <c r="K112" s="57" t="inlineStr"/>
      <c r="L112" s="57" t="inlineStr"/>
      <c r="M112" s="57" t="inlineStr"/>
      <c r="N112" s="57" t="inlineStr"/>
      <c r="O112" s="57" t="inlineStr"/>
      <c r="P112" s="57">
        <f>COUNT(H112:O112)</f>
        <v/>
      </c>
      <c r="Q112" s="60">
        <f>IF(P112=0,"",COUNTIF(H112:O112,"&gt;=4")/P112)</f>
        <v/>
      </c>
      <c r="R112" s="60">
        <f>IF(P112=0,"",COUNTIF(H112:O112,"&lt;=2")/P112)</f>
        <v/>
      </c>
      <c r="S112" s="57">
        <f>IF(P112=0,"",MEDIAN(H112:O112))</f>
        <v/>
      </c>
      <c r="T112" s="57">
        <f>IF(G112&lt;&gt;"Round 2",G112,IF(P112=0,"Awaiting Round 2",IF(Q112&gt;=0.8,"Include",IF(R112&gt;=0.8,"Exclude","No consensus"))))</f>
        <v/>
      </c>
      <c r="U112" s="57" t="inlineStr"/>
    </row>
    <row r="113">
      <c r="A113" s="57" t="inlineStr">
        <is>
          <t>Prostatic artery embolisation (PAE)</t>
        </is>
      </c>
      <c r="B113" s="57" t="inlineStr">
        <is>
          <t>UTI/retention</t>
        </is>
      </c>
      <c r="C113" s="57" t="inlineStr">
        <is>
          <t>Core candidate</t>
        </is>
      </c>
      <c r="D113" s="60">
        <f>'Delphi Round 1'!O113</f>
        <v/>
      </c>
      <c r="E113" s="60">
        <f>'Delphi Round 1'!P113</f>
        <v/>
      </c>
      <c r="F113" s="57">
        <f>'Delphi Round 1'!Q113</f>
        <v/>
      </c>
      <c r="G113" s="57">
        <f>'Delphi Round 1'!R113</f>
        <v/>
      </c>
      <c r="H113" s="57" t="inlineStr"/>
      <c r="I113" s="57" t="inlineStr"/>
      <c r="J113" s="57" t="inlineStr"/>
      <c r="K113" s="57" t="inlineStr"/>
      <c r="L113" s="57" t="inlineStr"/>
      <c r="M113" s="57" t="inlineStr"/>
      <c r="N113" s="57" t="inlineStr"/>
      <c r="O113" s="57" t="inlineStr"/>
      <c r="P113" s="57">
        <f>COUNT(H113:O113)</f>
        <v/>
      </c>
      <c r="Q113" s="60">
        <f>IF(P113=0,"",COUNTIF(H113:O113,"&gt;=4")/P113)</f>
        <v/>
      </c>
      <c r="R113" s="60">
        <f>IF(P113=0,"",COUNTIF(H113:O113,"&lt;=2")/P113)</f>
        <v/>
      </c>
      <c r="S113" s="57">
        <f>IF(P113=0,"",MEDIAN(H113:O113))</f>
        <v/>
      </c>
      <c r="T113" s="57">
        <f>IF(G113&lt;&gt;"Round 2",G113,IF(P113=0,"Awaiting Round 2",IF(Q113&gt;=0.8,"Include",IF(R113&gt;=0.8,"Exclude","No consensus"))))</f>
        <v/>
      </c>
      <c r="U113" s="57" t="inlineStr"/>
    </row>
    <row r="114">
      <c r="A114" s="57" t="inlineStr">
        <is>
          <t>Prostatic artery embolisation (PAE)</t>
        </is>
      </c>
      <c r="B114" s="57" t="inlineStr">
        <is>
          <t>persistent LUTS or treatment failure</t>
        </is>
      </c>
      <c r="C114" s="57" t="inlineStr">
        <is>
          <t>Core candidate</t>
        </is>
      </c>
      <c r="D114" s="60">
        <f>'Delphi Round 1'!O114</f>
        <v/>
      </c>
      <c r="E114" s="60">
        <f>'Delphi Round 1'!P114</f>
        <v/>
      </c>
      <c r="F114" s="57">
        <f>'Delphi Round 1'!Q114</f>
        <v/>
      </c>
      <c r="G114" s="57">
        <f>'Delphi Round 1'!R114</f>
        <v/>
      </c>
      <c r="H114" s="57" t="inlineStr"/>
      <c r="I114" s="57" t="inlineStr"/>
      <c r="J114" s="57" t="inlineStr"/>
      <c r="K114" s="57" t="inlineStr"/>
      <c r="L114" s="57" t="inlineStr"/>
      <c r="M114" s="57" t="inlineStr"/>
      <c r="N114" s="57" t="inlineStr"/>
      <c r="O114" s="57" t="inlineStr"/>
      <c r="P114" s="57">
        <f>COUNT(H114:O114)</f>
        <v/>
      </c>
      <c r="Q114" s="60">
        <f>IF(P114=0,"",COUNTIF(H114:O114,"&gt;=4")/P114)</f>
        <v/>
      </c>
      <c r="R114" s="60">
        <f>IF(P114=0,"",COUNTIF(H114:O114,"&lt;=2")/P114)</f>
        <v/>
      </c>
      <c r="S114" s="57">
        <f>IF(P114=0,"",MEDIAN(H114:O114))</f>
        <v/>
      </c>
      <c r="T114" s="57">
        <f>IF(G114&lt;&gt;"Round 2",G114,IF(P114=0,"Awaiting Round 2",IF(Q114&gt;=0.8,"Include",IF(R114&gt;=0.8,"Exclude","No consensus"))))</f>
        <v/>
      </c>
      <c r="U114" s="57" t="inlineStr"/>
    </row>
    <row r="115">
      <c r="A115" s="57" t="inlineStr">
        <is>
          <t>Prostatic artery embolisation (PAE)</t>
        </is>
      </c>
      <c r="B115" s="57" t="inlineStr">
        <is>
          <t>repeat intervention</t>
        </is>
      </c>
      <c r="C115" s="57" t="inlineStr">
        <is>
          <t>Core candidate</t>
        </is>
      </c>
      <c r="D115" s="60">
        <f>'Delphi Round 1'!O115</f>
        <v/>
      </c>
      <c r="E115" s="60">
        <f>'Delphi Round 1'!P115</f>
        <v/>
      </c>
      <c r="F115" s="57">
        <f>'Delphi Round 1'!Q115</f>
        <v/>
      </c>
      <c r="G115" s="57">
        <f>'Delphi Round 1'!R115</f>
        <v/>
      </c>
      <c r="H115" s="57" t="inlineStr"/>
      <c r="I115" s="57" t="inlineStr"/>
      <c r="J115" s="57" t="inlineStr"/>
      <c r="K115" s="57" t="inlineStr"/>
      <c r="L115" s="57" t="inlineStr"/>
      <c r="M115" s="57" t="inlineStr"/>
      <c r="N115" s="57" t="inlineStr"/>
      <c r="O115" s="57" t="inlineStr"/>
      <c r="P115" s="57">
        <f>COUNT(H115:O115)</f>
        <v/>
      </c>
      <c r="Q115" s="60">
        <f>IF(P115=0,"",COUNTIF(H115:O115,"&gt;=4")/P115)</f>
        <v/>
      </c>
      <c r="R115" s="60">
        <f>IF(P115=0,"",COUNTIF(H115:O115,"&lt;=2")/P115)</f>
        <v/>
      </c>
      <c r="S115" s="57">
        <f>IF(P115=0,"",MEDIAN(H115:O115))</f>
        <v/>
      </c>
      <c r="T115" s="57">
        <f>IF(G115&lt;&gt;"Round 2",G115,IF(P115=0,"Awaiting Round 2",IF(Q115&gt;=0.8,"Include",IF(R115&gt;=0.8,"Exclude","No consensus"))))</f>
        <v/>
      </c>
      <c r="U115" s="57" t="inlineStr"/>
    </row>
    <row r="116">
      <c r="A116" s="57" t="inlineStr">
        <is>
          <t>Prostatic artery embolisation (PAE)</t>
        </is>
      </c>
      <c r="B116" s="57" t="inlineStr">
        <is>
          <t>Non-target pelvic ischaemia causing bladder, rectal or penile injury/ulceration/necrosis</t>
        </is>
      </c>
      <c r="C116" s="57" t="inlineStr">
        <is>
          <t>Core candidate</t>
        </is>
      </c>
      <c r="D116" s="60">
        <f>'Delphi Round 1'!O116</f>
        <v/>
      </c>
      <c r="E116" s="60">
        <f>'Delphi Round 1'!P116</f>
        <v/>
      </c>
      <c r="F116" s="57">
        <f>'Delphi Round 1'!Q116</f>
        <v/>
      </c>
      <c r="G116" s="57">
        <f>'Delphi Round 1'!R116</f>
        <v/>
      </c>
      <c r="H116" s="57" t="inlineStr"/>
      <c r="I116" s="57" t="inlineStr"/>
      <c r="J116" s="57" t="inlineStr"/>
      <c r="K116" s="57" t="inlineStr"/>
      <c r="L116" s="57" t="inlineStr"/>
      <c r="M116" s="57" t="inlineStr"/>
      <c r="N116" s="57" t="inlineStr"/>
      <c r="O116" s="57" t="inlineStr"/>
      <c r="P116" s="57">
        <f>COUNT(H116:O116)</f>
        <v/>
      </c>
      <c r="Q116" s="60">
        <f>IF(P116=0,"",COUNTIF(H116:O116,"&gt;=4")/P116)</f>
        <v/>
      </c>
      <c r="R116" s="60">
        <f>IF(P116=0,"",COUNTIF(H116:O116,"&lt;=2")/P116)</f>
        <v/>
      </c>
      <c r="S116" s="57">
        <f>IF(P116=0,"",MEDIAN(H116:O116))</f>
        <v/>
      </c>
      <c r="T116" s="57">
        <f>IF(G116&lt;&gt;"Round 2",G116,IF(P116=0,"Awaiting Round 2",IF(Q116&gt;=0.8,"Include",IF(R116&gt;=0.8,"Exclude","No consensus"))))</f>
        <v/>
      </c>
      <c r="U116" s="57" t="inlineStr"/>
    </row>
    <row r="117">
      <c r="A117" s="57" t="inlineStr">
        <is>
          <t>Prostatic artery embolisation (PAE)</t>
        </is>
      </c>
      <c r="B117" s="57" t="inlineStr">
        <is>
          <t>sexual dysfunction where material</t>
        </is>
      </c>
      <c r="C117" s="57" t="inlineStr">
        <is>
          <t>Core candidate</t>
        </is>
      </c>
      <c r="D117" s="60">
        <f>'Delphi Round 1'!O117</f>
        <v/>
      </c>
      <c r="E117" s="60">
        <f>'Delphi Round 1'!P117</f>
        <v/>
      </c>
      <c r="F117" s="57">
        <f>'Delphi Round 1'!Q117</f>
        <v/>
      </c>
      <c r="G117" s="57">
        <f>'Delphi Round 1'!R117</f>
        <v/>
      </c>
      <c r="H117" s="57" t="inlineStr"/>
      <c r="I117" s="57" t="inlineStr"/>
      <c r="J117" s="57" t="inlineStr"/>
      <c r="K117" s="57" t="inlineStr"/>
      <c r="L117" s="57" t="inlineStr"/>
      <c r="M117" s="57" t="inlineStr"/>
      <c r="N117" s="57" t="inlineStr"/>
      <c r="O117" s="57" t="inlineStr"/>
      <c r="P117" s="57">
        <f>COUNT(H117:O117)</f>
        <v/>
      </c>
      <c r="Q117" s="60">
        <f>IF(P117=0,"",COUNTIF(H117:O117,"&gt;=4")/P117)</f>
        <v/>
      </c>
      <c r="R117" s="60">
        <f>IF(P117=0,"",COUNTIF(H117:O117,"&lt;=2")/P117)</f>
        <v/>
      </c>
      <c r="S117" s="57">
        <f>IF(P117=0,"",MEDIAN(H117:O117))</f>
        <v/>
      </c>
      <c r="T117" s="57">
        <f>IF(G117&lt;&gt;"Round 2",G117,IF(P117=0,"Awaiting Round 2",IF(Q117&gt;=0.8,"Include",IF(R117&gt;=0.8,"Exclude","No consensus"))))</f>
        <v/>
      </c>
      <c r="U117" s="57" t="inlineStr"/>
    </row>
    <row r="118">
      <c r="A118" s="57" t="inlineStr">
        <is>
          <t>Prostatic artery embolisation (PAE)</t>
        </is>
      </c>
      <c r="B118" s="57" t="inlineStr">
        <is>
          <t>Arterial access bleeding/haematoma</t>
        </is>
      </c>
      <c r="C118" s="57" t="inlineStr">
        <is>
          <t>Core candidate</t>
        </is>
      </c>
      <c r="D118" s="60">
        <f>'Delphi Round 1'!O118</f>
        <v/>
      </c>
      <c r="E118" s="60">
        <f>'Delphi Round 1'!P118</f>
        <v/>
      </c>
      <c r="F118" s="57">
        <f>'Delphi Round 1'!Q118</f>
        <v/>
      </c>
      <c r="G118" s="57">
        <f>'Delphi Round 1'!R118</f>
        <v/>
      </c>
      <c r="H118" s="57" t="inlineStr"/>
      <c r="I118" s="57" t="inlineStr"/>
      <c r="J118" s="57" t="inlineStr"/>
      <c r="K118" s="57" t="inlineStr"/>
      <c r="L118" s="57" t="inlineStr"/>
      <c r="M118" s="57" t="inlineStr"/>
      <c r="N118" s="57" t="inlineStr"/>
      <c r="O118" s="57" t="inlineStr"/>
      <c r="P118" s="57">
        <f>COUNT(H118:O118)</f>
        <v/>
      </c>
      <c r="Q118" s="60">
        <f>IF(P118=0,"",COUNTIF(H118:O118,"&gt;=4")/P118)</f>
        <v/>
      </c>
      <c r="R118" s="60">
        <f>IF(P118=0,"",COUNTIF(H118:O118,"&lt;=2")/P118)</f>
        <v/>
      </c>
      <c r="S118" s="57">
        <f>IF(P118=0,"",MEDIAN(H118:O118))</f>
        <v/>
      </c>
      <c r="T118" s="57">
        <f>IF(G118&lt;&gt;"Round 2",G118,IF(P118=0,"Awaiting Round 2",IF(Q118&gt;=0.8,"Include",IF(R118&gt;=0.8,"Exclude","No consensus"))))</f>
        <v/>
      </c>
      <c r="U118" s="57" t="inlineStr"/>
    </row>
    <row r="119">
      <c r="A119" s="57" t="inlineStr">
        <is>
          <t>Prostatic artery embolisation (PAE)</t>
        </is>
      </c>
      <c r="B119" s="57" t="inlineStr">
        <is>
          <t>arterial injury</t>
        </is>
      </c>
      <c r="C119" s="57" t="inlineStr">
        <is>
          <t>Core candidate</t>
        </is>
      </c>
      <c r="D119" s="60">
        <f>'Delphi Round 1'!O119</f>
        <v/>
      </c>
      <c r="E119" s="60">
        <f>'Delphi Round 1'!P119</f>
        <v/>
      </c>
      <c r="F119" s="57">
        <f>'Delphi Round 1'!Q119</f>
        <v/>
      </c>
      <c r="G119" s="57">
        <f>'Delphi Round 1'!R119</f>
        <v/>
      </c>
      <c r="H119" s="57" t="inlineStr"/>
      <c r="I119" s="57" t="inlineStr"/>
      <c r="J119" s="57" t="inlineStr"/>
      <c r="K119" s="57" t="inlineStr"/>
      <c r="L119" s="57" t="inlineStr"/>
      <c r="M119" s="57" t="inlineStr"/>
      <c r="N119" s="57" t="inlineStr"/>
      <c r="O119" s="57" t="inlineStr"/>
      <c r="P119" s="57">
        <f>COUNT(H119:O119)</f>
        <v/>
      </c>
      <c r="Q119" s="60">
        <f>IF(P119=0,"",COUNTIF(H119:O119,"&gt;=4")/P119)</f>
        <v/>
      </c>
      <c r="R119" s="60">
        <f>IF(P119=0,"",COUNTIF(H119:O119,"&lt;=2")/P119)</f>
        <v/>
      </c>
      <c r="S119" s="57">
        <f>IF(P119=0,"",MEDIAN(H119:O119))</f>
        <v/>
      </c>
      <c r="T119" s="57">
        <f>IF(G119&lt;&gt;"Round 2",G119,IF(P119=0,"Awaiting Round 2",IF(Q119&gt;=0.8,"Include",IF(R119&gt;=0.8,"Exclude","No consensus"))))</f>
        <v/>
      </c>
      <c r="U119" s="57" t="inlineStr"/>
    </row>
    <row r="120">
      <c r="A120" s="57" t="inlineStr">
        <is>
          <t>Prostatic artery embolisation (PAE)</t>
        </is>
      </c>
      <c r="B120" s="57" t="inlineStr">
        <is>
          <t>Contrast reaction/AKI</t>
        </is>
      </c>
      <c r="C120" s="57" t="inlineStr">
        <is>
          <t>Conditional / patient-specific</t>
        </is>
      </c>
      <c r="D120" s="60">
        <f>'Delphi Round 1'!O120</f>
        <v/>
      </c>
      <c r="E120" s="60">
        <f>'Delphi Round 1'!P120</f>
        <v/>
      </c>
      <c r="F120" s="57">
        <f>'Delphi Round 1'!Q120</f>
        <v/>
      </c>
      <c r="G120" s="57">
        <f>'Delphi Round 1'!R120</f>
        <v/>
      </c>
      <c r="H120" s="57" t="inlineStr"/>
      <c r="I120" s="57" t="inlineStr"/>
      <c r="J120" s="57" t="inlineStr"/>
      <c r="K120" s="57" t="inlineStr"/>
      <c r="L120" s="57" t="inlineStr"/>
      <c r="M120" s="57" t="inlineStr"/>
      <c r="N120" s="57" t="inlineStr"/>
      <c r="O120" s="57" t="inlineStr"/>
      <c r="P120" s="57">
        <f>COUNT(H120:O120)</f>
        <v/>
      </c>
      <c r="Q120" s="60">
        <f>IF(P120=0,"",COUNTIF(H120:O120,"&gt;=4")/P120)</f>
        <v/>
      </c>
      <c r="R120" s="60">
        <f>IF(P120=0,"",COUNTIF(H120:O120,"&lt;=2")/P120)</f>
        <v/>
      </c>
      <c r="S120" s="57">
        <f>IF(P120=0,"",MEDIAN(H120:O120))</f>
        <v/>
      </c>
      <c r="T120" s="57">
        <f>IF(G120&lt;&gt;"Round 2",G120,IF(P120=0,"Awaiting Round 2",IF(Q120&gt;=0.8,"Include",IF(R120&gt;=0.8,"Exclude","No consensus"))))</f>
        <v/>
      </c>
      <c r="U120" s="57" t="inlineStr"/>
    </row>
    <row r="121">
      <c r="A121" s="57" t="inlineStr">
        <is>
          <t>Prostatic artery embolisation (PAE)</t>
        </is>
      </c>
      <c r="B121" s="57" t="inlineStr">
        <is>
          <t>radiation exposure</t>
        </is>
      </c>
      <c r="C121" s="57" t="inlineStr">
        <is>
          <t>Conditional / patient-specific</t>
        </is>
      </c>
      <c r="D121" s="60">
        <f>'Delphi Round 1'!O121</f>
        <v/>
      </c>
      <c r="E121" s="60">
        <f>'Delphi Round 1'!P121</f>
        <v/>
      </c>
      <c r="F121" s="57">
        <f>'Delphi Round 1'!Q121</f>
        <v/>
      </c>
      <c r="G121" s="57">
        <f>'Delphi Round 1'!R121</f>
        <v/>
      </c>
      <c r="H121" s="57" t="inlineStr"/>
      <c r="I121" s="57" t="inlineStr"/>
      <c r="J121" s="57" t="inlineStr"/>
      <c r="K121" s="57" t="inlineStr"/>
      <c r="L121" s="57" t="inlineStr"/>
      <c r="M121" s="57" t="inlineStr"/>
      <c r="N121" s="57" t="inlineStr"/>
      <c r="O121" s="57" t="inlineStr"/>
      <c r="P121" s="57">
        <f>COUNT(H121:O121)</f>
        <v/>
      </c>
      <c r="Q121" s="60">
        <f>IF(P121=0,"",COUNTIF(H121:O121,"&gt;=4")/P121)</f>
        <v/>
      </c>
      <c r="R121" s="60">
        <f>IF(P121=0,"",COUNTIF(H121:O121,"&lt;=2")/P121)</f>
        <v/>
      </c>
      <c r="S121" s="57">
        <f>IF(P121=0,"",MEDIAN(H121:O121))</f>
        <v/>
      </c>
      <c r="T121" s="57">
        <f>IF(G121&lt;&gt;"Round 2",G121,IF(P121=0,"Awaiting Round 2",IF(Q121&gt;=0.8,"Include",IF(R121&gt;=0.8,"Exclude","No consensus"))))</f>
        <v/>
      </c>
      <c r="U121" s="57" t="inlineStr"/>
    </row>
    <row r="122">
      <c r="A122" s="57" t="inlineStr">
        <is>
          <t>Prostatic artery embolisation (PAE)</t>
        </is>
      </c>
      <c r="B122" s="57" t="inlineStr">
        <is>
          <t>Prostatic arterial anatomy, embolic agent, non-target collateral supply, patient priorities</t>
        </is>
      </c>
      <c r="C122" s="57" t="inlineStr">
        <is>
          <t>Conditional / patient-specific</t>
        </is>
      </c>
      <c r="D122" s="60">
        <f>'Delphi Round 1'!O122</f>
        <v/>
      </c>
      <c r="E122" s="60">
        <f>'Delphi Round 1'!P122</f>
        <v/>
      </c>
      <c r="F122" s="57">
        <f>'Delphi Round 1'!Q122</f>
        <v/>
      </c>
      <c r="G122" s="57">
        <f>'Delphi Round 1'!R122</f>
        <v/>
      </c>
      <c r="H122" s="57" t="inlineStr"/>
      <c r="I122" s="57" t="inlineStr"/>
      <c r="J122" s="57" t="inlineStr"/>
      <c r="K122" s="57" t="inlineStr"/>
      <c r="L122" s="57" t="inlineStr"/>
      <c r="M122" s="57" t="inlineStr"/>
      <c r="N122" s="57" t="inlineStr"/>
      <c r="O122" s="57" t="inlineStr"/>
      <c r="P122" s="57">
        <f>COUNT(H122:O122)</f>
        <v/>
      </c>
      <c r="Q122" s="60">
        <f>IF(P122=0,"",COUNTIF(H122:O122,"&gt;=4")/P122)</f>
        <v/>
      </c>
      <c r="R122" s="60">
        <f>IF(P122=0,"",COUNTIF(H122:O122,"&lt;=2")/P122)</f>
        <v/>
      </c>
      <c r="S122" s="57">
        <f>IF(P122=0,"",MEDIAN(H122:O122))</f>
        <v/>
      </c>
      <c r="T122" s="57">
        <f>IF(G122&lt;&gt;"Round 2",G122,IF(P122=0,"Awaiting Round 2",IF(Q122&gt;=0.8,"Include",IF(R122&gt;=0.8,"Exclude","No consensus"))))</f>
        <v/>
      </c>
      <c r="U122" s="57" t="inlineStr"/>
    </row>
    <row r="123">
      <c r="A123" s="57" t="inlineStr">
        <is>
          <t>Transarterial chemoembolisation (TACE)</t>
        </is>
      </c>
      <c r="B123" s="57" t="inlineStr">
        <is>
          <t>Post-embolisation symptoms: pain, nausea and fever</t>
        </is>
      </c>
      <c r="C123" s="57" t="inlineStr">
        <is>
          <t>Core candidate</t>
        </is>
      </c>
      <c r="D123" s="60">
        <f>'Delphi Round 1'!O123</f>
        <v/>
      </c>
      <c r="E123" s="60">
        <f>'Delphi Round 1'!P123</f>
        <v/>
      </c>
      <c r="F123" s="57">
        <f>'Delphi Round 1'!Q123</f>
        <v/>
      </c>
      <c r="G123" s="57">
        <f>'Delphi Round 1'!R123</f>
        <v/>
      </c>
      <c r="H123" s="57" t="inlineStr"/>
      <c r="I123" s="57" t="inlineStr"/>
      <c r="J123" s="57" t="inlineStr"/>
      <c r="K123" s="57" t="inlineStr"/>
      <c r="L123" s="57" t="inlineStr"/>
      <c r="M123" s="57" t="inlineStr"/>
      <c r="N123" s="57" t="inlineStr"/>
      <c r="O123" s="57" t="inlineStr"/>
      <c r="P123" s="57">
        <f>COUNT(H123:O123)</f>
        <v/>
      </c>
      <c r="Q123" s="60">
        <f>IF(P123=0,"",COUNTIF(H123:O123,"&gt;=4")/P123)</f>
        <v/>
      </c>
      <c r="R123" s="60">
        <f>IF(P123=0,"",COUNTIF(H123:O123,"&lt;=2")/P123)</f>
        <v/>
      </c>
      <c r="S123" s="57">
        <f>IF(P123=0,"",MEDIAN(H123:O123))</f>
        <v/>
      </c>
      <c r="T123" s="57">
        <f>IF(G123&lt;&gt;"Round 2",G123,IF(P123=0,"Awaiting Round 2",IF(Q123&gt;=0.8,"Include",IF(R123&gt;=0.8,"Exclude","No consensus"))))</f>
        <v/>
      </c>
      <c r="U123" s="57" t="inlineStr"/>
    </row>
    <row r="124">
      <c r="A124" s="57" t="inlineStr">
        <is>
          <t>Transarterial chemoembolisation (TACE)</t>
        </is>
      </c>
      <c r="B124" s="57" t="inlineStr">
        <is>
          <t>expected in about 30% per CIRSE SOP</t>
        </is>
      </c>
      <c r="C124" s="57" t="inlineStr">
        <is>
          <t>Core candidate</t>
        </is>
      </c>
      <c r="D124" s="60">
        <f>'Delphi Round 1'!O124</f>
        <v/>
      </c>
      <c r="E124" s="60">
        <f>'Delphi Round 1'!P124</f>
        <v/>
      </c>
      <c r="F124" s="57">
        <f>'Delphi Round 1'!Q124</f>
        <v/>
      </c>
      <c r="G124" s="57">
        <f>'Delphi Round 1'!R124</f>
        <v/>
      </c>
      <c r="H124" s="57" t="inlineStr"/>
      <c r="I124" s="57" t="inlineStr"/>
      <c r="J124" s="57" t="inlineStr"/>
      <c r="K124" s="57" t="inlineStr"/>
      <c r="L124" s="57" t="inlineStr"/>
      <c r="M124" s="57" t="inlineStr"/>
      <c r="N124" s="57" t="inlineStr"/>
      <c r="O124" s="57" t="inlineStr"/>
      <c r="P124" s="57">
        <f>COUNT(H124:O124)</f>
        <v/>
      </c>
      <c r="Q124" s="60">
        <f>IF(P124=0,"",COUNTIF(H124:O124,"&gt;=4")/P124)</f>
        <v/>
      </c>
      <c r="R124" s="60">
        <f>IF(P124=0,"",COUNTIF(H124:O124,"&lt;=2")/P124)</f>
        <v/>
      </c>
      <c r="S124" s="57">
        <f>IF(P124=0,"",MEDIAN(H124:O124))</f>
        <v/>
      </c>
      <c r="T124" s="57">
        <f>IF(G124&lt;&gt;"Round 2",G124,IF(P124=0,"Awaiting Round 2",IF(Q124&gt;=0.8,"Include",IF(R124&gt;=0.8,"Exclude","No consensus"))))</f>
        <v/>
      </c>
      <c r="U124" s="57" t="inlineStr"/>
    </row>
    <row r="125">
      <c r="A125" s="57" t="inlineStr">
        <is>
          <t>Transarterial chemoembolisation (TACE)</t>
        </is>
      </c>
      <c r="B125" s="57" t="inlineStr">
        <is>
          <t>Cholecystitis</t>
        </is>
      </c>
      <c r="C125" s="57" t="inlineStr">
        <is>
          <t>Core candidate</t>
        </is>
      </c>
      <c r="D125" s="60">
        <f>'Delphi Round 1'!O125</f>
        <v/>
      </c>
      <c r="E125" s="60">
        <f>'Delphi Round 1'!P125</f>
        <v/>
      </c>
      <c r="F125" s="57">
        <f>'Delphi Round 1'!Q125</f>
        <v/>
      </c>
      <c r="G125" s="57">
        <f>'Delphi Round 1'!R125</f>
        <v/>
      </c>
      <c r="H125" s="57" t="inlineStr"/>
      <c r="I125" s="57" t="inlineStr"/>
      <c r="J125" s="57" t="inlineStr"/>
      <c r="K125" s="57" t="inlineStr"/>
      <c r="L125" s="57" t="inlineStr"/>
      <c r="M125" s="57" t="inlineStr"/>
      <c r="N125" s="57" t="inlineStr"/>
      <c r="O125" s="57" t="inlineStr"/>
      <c r="P125" s="57">
        <f>COUNT(H125:O125)</f>
        <v/>
      </c>
      <c r="Q125" s="60">
        <f>IF(P125=0,"",COUNTIF(H125:O125,"&gt;=4")/P125)</f>
        <v/>
      </c>
      <c r="R125" s="60">
        <f>IF(P125=0,"",COUNTIF(H125:O125,"&lt;=2")/P125)</f>
        <v/>
      </c>
      <c r="S125" s="57">
        <f>IF(P125=0,"",MEDIAN(H125:O125))</f>
        <v/>
      </c>
      <c r="T125" s="57">
        <f>IF(G125&lt;&gt;"Round 2",G125,IF(P125=0,"Awaiting Round 2",IF(Q125&gt;=0.8,"Include",IF(R125&gt;=0.8,"Exclude","No consensus"))))</f>
        <v/>
      </c>
      <c r="U125" s="57" t="inlineStr"/>
    </row>
    <row r="126">
      <c r="A126" s="57" t="inlineStr">
        <is>
          <t>Transarterial chemoembolisation (TACE)</t>
        </is>
      </c>
      <c r="B126" s="57" t="inlineStr">
        <is>
          <t>biliary ischaemia/necrosis</t>
        </is>
      </c>
      <c r="C126" s="57" t="inlineStr">
        <is>
          <t>Core candidate</t>
        </is>
      </c>
      <c r="D126" s="60">
        <f>'Delphi Round 1'!O126</f>
        <v/>
      </c>
      <c r="E126" s="60">
        <f>'Delphi Round 1'!P126</f>
        <v/>
      </c>
      <c r="F126" s="57">
        <f>'Delphi Round 1'!Q126</f>
        <v/>
      </c>
      <c r="G126" s="57">
        <f>'Delphi Round 1'!R126</f>
        <v/>
      </c>
      <c r="H126" s="57" t="inlineStr"/>
      <c r="I126" s="57" t="inlineStr"/>
      <c r="J126" s="57" t="inlineStr"/>
      <c r="K126" s="57" t="inlineStr"/>
      <c r="L126" s="57" t="inlineStr"/>
      <c r="M126" s="57" t="inlineStr"/>
      <c r="N126" s="57" t="inlineStr"/>
      <c r="O126" s="57" t="inlineStr"/>
      <c r="P126" s="57">
        <f>COUNT(H126:O126)</f>
        <v/>
      </c>
      <c r="Q126" s="60">
        <f>IF(P126=0,"",COUNTIF(H126:O126,"&gt;=4")/P126)</f>
        <v/>
      </c>
      <c r="R126" s="60">
        <f>IF(P126=0,"",COUNTIF(H126:O126,"&lt;=2")/P126)</f>
        <v/>
      </c>
      <c r="S126" s="57">
        <f>IF(P126=0,"",MEDIAN(H126:O126))</f>
        <v/>
      </c>
      <c r="T126" s="57">
        <f>IF(G126&lt;&gt;"Round 2",G126,IF(P126=0,"Awaiting Round 2",IF(Q126&gt;=0.8,"Include",IF(R126&gt;=0.8,"Exclude","No consensus"))))</f>
        <v/>
      </c>
      <c r="U126" s="57" t="inlineStr"/>
    </row>
    <row r="127">
      <c r="A127" s="57" t="inlineStr">
        <is>
          <t>Transarterial chemoembolisation (TACE)</t>
        </is>
      </c>
      <c r="B127" s="57" t="inlineStr">
        <is>
          <t>hepatic decompensation</t>
        </is>
      </c>
      <c r="C127" s="57" t="inlineStr">
        <is>
          <t>Core candidate</t>
        </is>
      </c>
      <c r="D127" s="60">
        <f>'Delphi Round 1'!O127</f>
        <v/>
      </c>
      <c r="E127" s="60">
        <f>'Delphi Round 1'!P127</f>
        <v/>
      </c>
      <c r="F127" s="57">
        <f>'Delphi Round 1'!Q127</f>
        <v/>
      </c>
      <c r="G127" s="57">
        <f>'Delphi Round 1'!R127</f>
        <v/>
      </c>
      <c r="H127" s="57" t="inlineStr"/>
      <c r="I127" s="57" t="inlineStr"/>
      <c r="J127" s="57" t="inlineStr"/>
      <c r="K127" s="57" t="inlineStr"/>
      <c r="L127" s="57" t="inlineStr"/>
      <c r="M127" s="57" t="inlineStr"/>
      <c r="N127" s="57" t="inlineStr"/>
      <c r="O127" s="57" t="inlineStr"/>
      <c r="P127" s="57">
        <f>COUNT(H127:O127)</f>
        <v/>
      </c>
      <c r="Q127" s="60">
        <f>IF(P127=0,"",COUNTIF(H127:O127,"&gt;=4")/P127)</f>
        <v/>
      </c>
      <c r="R127" s="60">
        <f>IF(P127=0,"",COUNTIF(H127:O127,"&lt;=2")/P127)</f>
        <v/>
      </c>
      <c r="S127" s="57">
        <f>IF(P127=0,"",MEDIAN(H127:O127))</f>
        <v/>
      </c>
      <c r="T127" s="57">
        <f>IF(G127&lt;&gt;"Round 2",G127,IF(P127=0,"Awaiting Round 2",IF(Q127&gt;=0.8,"Include",IF(R127&gt;=0.8,"Exclude","No consensus"))))</f>
        <v/>
      </c>
      <c r="U127" s="57" t="inlineStr"/>
    </row>
    <row r="128">
      <c r="A128" s="57" t="inlineStr">
        <is>
          <t>Transarterial chemoembolisation (TACE)</t>
        </is>
      </c>
      <c r="B128" s="57" t="inlineStr">
        <is>
          <t>Liver failure</t>
        </is>
      </c>
      <c r="C128" s="57" t="inlineStr">
        <is>
          <t>Core candidate</t>
        </is>
      </c>
      <c r="D128" s="60">
        <f>'Delphi Round 1'!O128</f>
        <v/>
      </c>
      <c r="E128" s="60">
        <f>'Delphi Round 1'!P128</f>
        <v/>
      </c>
      <c r="F128" s="57">
        <f>'Delphi Round 1'!Q128</f>
        <v/>
      </c>
      <c r="G128" s="57">
        <f>'Delphi Round 1'!R128</f>
        <v/>
      </c>
      <c r="H128" s="57" t="inlineStr"/>
      <c r="I128" s="57" t="inlineStr"/>
      <c r="J128" s="57" t="inlineStr"/>
      <c r="K128" s="57" t="inlineStr"/>
      <c r="L128" s="57" t="inlineStr"/>
      <c r="M128" s="57" t="inlineStr"/>
      <c r="N128" s="57" t="inlineStr"/>
      <c r="O128" s="57" t="inlineStr"/>
      <c r="P128" s="57">
        <f>COUNT(H128:O128)</f>
        <v/>
      </c>
      <c r="Q128" s="60">
        <f>IF(P128=0,"",COUNTIF(H128:O128,"&gt;=4")/P128)</f>
        <v/>
      </c>
      <c r="R128" s="60">
        <f>IF(P128=0,"",COUNTIF(H128:O128,"&lt;=2")/P128)</f>
        <v/>
      </c>
      <c r="S128" s="57">
        <f>IF(P128=0,"",MEDIAN(H128:O128))</f>
        <v/>
      </c>
      <c r="T128" s="57">
        <f>IF(G128&lt;&gt;"Round 2",G128,IF(P128=0,"Awaiting Round 2",IF(Q128&gt;=0.8,"Include",IF(R128&gt;=0.8,"Exclude","No consensus"))))</f>
        <v/>
      </c>
      <c r="U128" s="57" t="inlineStr"/>
    </row>
    <row r="129">
      <c r="A129" s="57" t="inlineStr">
        <is>
          <t>Transarterial chemoembolisation (TACE)</t>
        </is>
      </c>
      <c r="B129" s="57" t="inlineStr">
        <is>
          <t>abscess/sepsis (risk increased with biliary-enteric communication/instrumentation)</t>
        </is>
      </c>
      <c r="C129" s="57" t="inlineStr">
        <is>
          <t>Core candidate</t>
        </is>
      </c>
      <c r="D129" s="60">
        <f>'Delphi Round 1'!O129</f>
        <v/>
      </c>
      <c r="E129" s="60">
        <f>'Delphi Round 1'!P129</f>
        <v/>
      </c>
      <c r="F129" s="57">
        <f>'Delphi Round 1'!Q129</f>
        <v/>
      </c>
      <c r="G129" s="57">
        <f>'Delphi Round 1'!R129</f>
        <v/>
      </c>
      <c r="H129" s="57" t="inlineStr"/>
      <c r="I129" s="57" t="inlineStr"/>
      <c r="J129" s="57" t="inlineStr"/>
      <c r="K129" s="57" t="inlineStr"/>
      <c r="L129" s="57" t="inlineStr"/>
      <c r="M129" s="57" t="inlineStr"/>
      <c r="N129" s="57" t="inlineStr"/>
      <c r="O129" s="57" t="inlineStr"/>
      <c r="P129" s="57">
        <f>COUNT(H129:O129)</f>
        <v/>
      </c>
      <c r="Q129" s="60">
        <f>IF(P129=0,"",COUNTIF(H129:O129,"&gt;=4")/P129)</f>
        <v/>
      </c>
      <c r="R129" s="60">
        <f>IF(P129=0,"",COUNTIF(H129:O129,"&lt;=2")/P129)</f>
        <v/>
      </c>
      <c r="S129" s="57">
        <f>IF(P129=0,"",MEDIAN(H129:O129))</f>
        <v/>
      </c>
      <c r="T129" s="57">
        <f>IF(G129&lt;&gt;"Round 2",G129,IF(P129=0,"Awaiting Round 2",IF(Q129&gt;=0.8,"Include",IF(R129&gt;=0.8,"Exclude","No consensus"))))</f>
        <v/>
      </c>
      <c r="U129" s="57" t="inlineStr"/>
    </row>
    <row r="130">
      <c r="A130" s="57" t="inlineStr">
        <is>
          <t>Transarterial chemoembolisation (TACE)</t>
        </is>
      </c>
      <c r="B130" s="57" t="inlineStr">
        <is>
          <t>non-target GI embolisation</t>
        </is>
      </c>
      <c r="C130" s="57" t="inlineStr">
        <is>
          <t>Core candidate</t>
        </is>
      </c>
      <c r="D130" s="60">
        <f>'Delphi Round 1'!O130</f>
        <v/>
      </c>
      <c r="E130" s="60">
        <f>'Delphi Round 1'!P130</f>
        <v/>
      </c>
      <c r="F130" s="57">
        <f>'Delphi Round 1'!Q130</f>
        <v/>
      </c>
      <c r="G130" s="57">
        <f>'Delphi Round 1'!R130</f>
        <v/>
      </c>
      <c r="H130" s="57" t="inlineStr"/>
      <c r="I130" s="57" t="inlineStr"/>
      <c r="J130" s="57" t="inlineStr"/>
      <c r="K130" s="57" t="inlineStr"/>
      <c r="L130" s="57" t="inlineStr"/>
      <c r="M130" s="57" t="inlineStr"/>
      <c r="N130" s="57" t="inlineStr"/>
      <c r="O130" s="57" t="inlineStr"/>
      <c r="P130" s="57">
        <f>COUNT(H130:O130)</f>
        <v/>
      </c>
      <c r="Q130" s="60">
        <f>IF(P130=0,"",COUNTIF(H130:O130,"&gt;=4")/P130)</f>
        <v/>
      </c>
      <c r="R130" s="60">
        <f>IF(P130=0,"",COUNTIF(H130:O130,"&lt;=2")/P130)</f>
        <v/>
      </c>
      <c r="S130" s="57">
        <f>IF(P130=0,"",MEDIAN(H130:O130))</f>
        <v/>
      </c>
      <c r="T130" s="57">
        <f>IF(G130&lt;&gt;"Round 2",G130,IF(P130=0,"Awaiting Round 2",IF(Q130&gt;=0.8,"Include",IF(R130&gt;=0.8,"Exclude","No consensus"))))</f>
        <v/>
      </c>
      <c r="U130" s="57" t="inlineStr"/>
    </row>
    <row r="131">
      <c r="A131" s="57" t="inlineStr">
        <is>
          <t>Transarterial chemoembolisation (TACE)</t>
        </is>
      </c>
      <c r="B131" s="57" t="inlineStr">
        <is>
          <t>Arterial access bleeding/haematoma</t>
        </is>
      </c>
      <c r="C131" s="57" t="inlineStr">
        <is>
          <t>Core candidate</t>
        </is>
      </c>
      <c r="D131" s="60">
        <f>'Delphi Round 1'!O131</f>
        <v/>
      </c>
      <c r="E131" s="60">
        <f>'Delphi Round 1'!P131</f>
        <v/>
      </c>
      <c r="F131" s="57">
        <f>'Delphi Round 1'!Q131</f>
        <v/>
      </c>
      <c r="G131" s="57">
        <f>'Delphi Round 1'!R131</f>
        <v/>
      </c>
      <c r="H131" s="57" t="inlineStr"/>
      <c r="I131" s="57" t="inlineStr"/>
      <c r="J131" s="57" t="inlineStr"/>
      <c r="K131" s="57" t="inlineStr"/>
      <c r="L131" s="57" t="inlineStr"/>
      <c r="M131" s="57" t="inlineStr"/>
      <c r="N131" s="57" t="inlineStr"/>
      <c r="O131" s="57" t="inlineStr"/>
      <c r="P131" s="57">
        <f>COUNT(H131:O131)</f>
        <v/>
      </c>
      <c r="Q131" s="60">
        <f>IF(P131=0,"",COUNTIF(H131:O131,"&gt;=4")/P131)</f>
        <v/>
      </c>
      <c r="R131" s="60">
        <f>IF(P131=0,"",COUNTIF(H131:O131,"&lt;=2")/P131)</f>
        <v/>
      </c>
      <c r="S131" s="57">
        <f>IF(P131=0,"",MEDIAN(H131:O131))</f>
        <v/>
      </c>
      <c r="T131" s="57">
        <f>IF(G131&lt;&gt;"Round 2",G131,IF(P131=0,"Awaiting Round 2",IF(Q131&gt;=0.8,"Include",IF(R131&gt;=0.8,"Exclude","No consensus"))))</f>
        <v/>
      </c>
      <c r="U131" s="57" t="inlineStr"/>
    </row>
    <row r="132">
      <c r="A132" s="57" t="inlineStr">
        <is>
          <t>Transarterial chemoembolisation (TACE)</t>
        </is>
      </c>
      <c r="B132" s="57" t="inlineStr">
        <is>
          <t>Contrast reaction/AKI</t>
        </is>
      </c>
      <c r="C132" s="57" t="inlineStr">
        <is>
          <t>Conditional / patient-specific</t>
        </is>
      </c>
      <c r="D132" s="60">
        <f>'Delphi Round 1'!O132</f>
        <v/>
      </c>
      <c r="E132" s="60">
        <f>'Delphi Round 1'!P132</f>
        <v/>
      </c>
      <c r="F132" s="57">
        <f>'Delphi Round 1'!Q132</f>
        <v/>
      </c>
      <c r="G132" s="57">
        <f>'Delphi Round 1'!R132</f>
        <v/>
      </c>
      <c r="H132" s="57" t="inlineStr"/>
      <c r="I132" s="57" t="inlineStr"/>
      <c r="J132" s="57" t="inlineStr"/>
      <c r="K132" s="57" t="inlineStr"/>
      <c r="L132" s="57" t="inlineStr"/>
      <c r="M132" s="57" t="inlineStr"/>
      <c r="N132" s="57" t="inlineStr"/>
      <c r="O132" s="57" t="inlineStr"/>
      <c r="P132" s="57">
        <f>COUNT(H132:O132)</f>
        <v/>
      </c>
      <c r="Q132" s="60">
        <f>IF(P132=0,"",COUNTIF(H132:O132,"&gt;=4")/P132)</f>
        <v/>
      </c>
      <c r="R132" s="60">
        <f>IF(P132=0,"",COUNTIF(H132:O132,"&lt;=2")/P132)</f>
        <v/>
      </c>
      <c r="S132" s="57">
        <f>IF(P132=0,"",MEDIAN(H132:O132))</f>
        <v/>
      </c>
      <c r="T132" s="57">
        <f>IF(G132&lt;&gt;"Round 2",G132,IF(P132=0,"Awaiting Round 2",IF(Q132&gt;=0.8,"Include",IF(R132&gt;=0.8,"Exclude","No consensus"))))</f>
        <v/>
      </c>
      <c r="U132" s="57" t="inlineStr"/>
    </row>
    <row r="133">
      <c r="A133" s="57" t="inlineStr">
        <is>
          <t>Transarterial chemoembolisation (TACE)</t>
        </is>
      </c>
      <c r="B133" s="57" t="inlineStr">
        <is>
          <t>radiation exposure</t>
        </is>
      </c>
      <c r="C133" s="57" t="inlineStr">
        <is>
          <t>Conditional / patient-specific</t>
        </is>
      </c>
      <c r="D133" s="60">
        <f>'Delphi Round 1'!O133</f>
        <v/>
      </c>
      <c r="E133" s="60">
        <f>'Delphi Round 1'!P133</f>
        <v/>
      </c>
      <c r="F133" s="57">
        <f>'Delphi Round 1'!Q133</f>
        <v/>
      </c>
      <c r="G133" s="57">
        <f>'Delphi Round 1'!R133</f>
        <v/>
      </c>
      <c r="H133" s="57" t="inlineStr"/>
      <c r="I133" s="57" t="inlineStr"/>
      <c r="J133" s="57" t="inlineStr"/>
      <c r="K133" s="57" t="inlineStr"/>
      <c r="L133" s="57" t="inlineStr"/>
      <c r="M133" s="57" t="inlineStr"/>
      <c r="N133" s="57" t="inlineStr"/>
      <c r="O133" s="57" t="inlineStr"/>
      <c r="P133" s="57">
        <f>COUNT(H133:O133)</f>
        <v/>
      </c>
      <c r="Q133" s="60">
        <f>IF(P133=0,"",COUNTIF(H133:O133,"&gt;=4")/P133)</f>
        <v/>
      </c>
      <c r="R133" s="60">
        <f>IF(P133=0,"",COUNTIF(H133:O133,"&lt;=2")/P133)</f>
        <v/>
      </c>
      <c r="S133" s="57">
        <f>IF(P133=0,"",MEDIAN(H133:O133))</f>
        <v/>
      </c>
      <c r="T133" s="57">
        <f>IF(G133&lt;&gt;"Round 2",G133,IF(P133=0,"Awaiting Round 2",IF(Q133&gt;=0.8,"Include",IF(R133&gt;=0.8,"Exclude","No consensus"))))</f>
        <v/>
      </c>
      <c r="U133" s="57" t="inlineStr"/>
    </row>
    <row r="134">
      <c r="A134" s="57" t="inlineStr">
        <is>
          <t>Transarterial chemoembolisation (TACE)</t>
        </is>
      </c>
      <c r="B134" s="57" t="inlineStr">
        <is>
          <t>Liver reserve, tumour burden, portal flow, biliary instrumentation, embolic technique</t>
        </is>
      </c>
      <c r="C134" s="57" t="inlineStr">
        <is>
          <t>Conditional / patient-specific</t>
        </is>
      </c>
      <c r="D134" s="60">
        <f>'Delphi Round 1'!O134</f>
        <v/>
      </c>
      <c r="E134" s="60">
        <f>'Delphi Round 1'!P134</f>
        <v/>
      </c>
      <c r="F134" s="57">
        <f>'Delphi Round 1'!Q134</f>
        <v/>
      </c>
      <c r="G134" s="57">
        <f>'Delphi Round 1'!R134</f>
        <v/>
      </c>
      <c r="H134" s="57" t="inlineStr"/>
      <c r="I134" s="57" t="inlineStr"/>
      <c r="J134" s="57" t="inlineStr"/>
      <c r="K134" s="57" t="inlineStr"/>
      <c r="L134" s="57" t="inlineStr"/>
      <c r="M134" s="57" t="inlineStr"/>
      <c r="N134" s="57" t="inlineStr"/>
      <c r="O134" s="57" t="inlineStr"/>
      <c r="P134" s="57">
        <f>COUNT(H134:O134)</f>
        <v/>
      </c>
      <c r="Q134" s="60">
        <f>IF(P134=0,"",COUNTIF(H134:O134,"&gt;=4")/P134)</f>
        <v/>
      </c>
      <c r="R134" s="60">
        <f>IF(P134=0,"",COUNTIF(H134:O134,"&lt;=2")/P134)</f>
        <v/>
      </c>
      <c r="S134" s="57">
        <f>IF(P134=0,"",MEDIAN(H134:O134))</f>
        <v/>
      </c>
      <c r="T134" s="57">
        <f>IF(G134&lt;&gt;"Round 2",G134,IF(P134=0,"Awaiting Round 2",IF(Q134&gt;=0.8,"Include",IF(R134&gt;=0.8,"Exclude","No consensus"))))</f>
        <v/>
      </c>
      <c r="U134" s="57" t="inlineStr"/>
    </row>
    <row r="135">
      <c r="A135" s="57" t="inlineStr">
        <is>
          <t>Thoracic endovascular aortic repair (TEVAR)</t>
        </is>
      </c>
      <c r="B135" s="57" t="inlineStr">
        <is>
          <t>Access bruising/bleeding</t>
        </is>
      </c>
      <c r="C135" s="57" t="inlineStr">
        <is>
          <t>Core candidate</t>
        </is>
      </c>
      <c r="D135" s="60">
        <f>'Delphi Round 1'!O135</f>
        <v/>
      </c>
      <c r="E135" s="60">
        <f>'Delphi Round 1'!P135</f>
        <v/>
      </c>
      <c r="F135" s="57">
        <f>'Delphi Round 1'!Q135</f>
        <v/>
      </c>
      <c r="G135" s="57">
        <f>'Delphi Round 1'!R135</f>
        <v/>
      </c>
      <c r="H135" s="57" t="inlineStr"/>
      <c r="I135" s="57" t="inlineStr"/>
      <c r="J135" s="57" t="inlineStr"/>
      <c r="K135" s="57" t="inlineStr"/>
      <c r="L135" s="57" t="inlineStr"/>
      <c r="M135" s="57" t="inlineStr"/>
      <c r="N135" s="57" t="inlineStr"/>
      <c r="O135" s="57" t="inlineStr"/>
      <c r="P135" s="57">
        <f>COUNT(H135:O135)</f>
        <v/>
      </c>
      <c r="Q135" s="60">
        <f>IF(P135=0,"",COUNTIF(H135:O135,"&gt;=4")/P135)</f>
        <v/>
      </c>
      <c r="R135" s="60">
        <f>IF(P135=0,"",COUNTIF(H135:O135,"&lt;=2")/P135)</f>
        <v/>
      </c>
      <c r="S135" s="57">
        <f>IF(P135=0,"",MEDIAN(H135:O135))</f>
        <v/>
      </c>
      <c r="T135" s="57">
        <f>IF(G135&lt;&gt;"Round 2",G135,IF(P135=0,"Awaiting Round 2",IF(Q135&gt;=0.8,"Include",IF(R135&gt;=0.8,"Exclude","No consensus"))))</f>
        <v/>
      </c>
      <c r="U135" s="57" t="inlineStr"/>
    </row>
    <row r="136">
      <c r="A136" s="57" t="inlineStr">
        <is>
          <t>Thoracic endovascular aortic repair (TEVAR)</t>
        </is>
      </c>
      <c r="B136" s="57" t="inlineStr">
        <is>
          <t>possible reintervention</t>
        </is>
      </c>
      <c r="C136" s="57" t="inlineStr">
        <is>
          <t>Core candidate</t>
        </is>
      </c>
      <c r="D136" s="60">
        <f>'Delphi Round 1'!O136</f>
        <v/>
      </c>
      <c r="E136" s="60">
        <f>'Delphi Round 1'!P136</f>
        <v/>
      </c>
      <c r="F136" s="57">
        <f>'Delphi Round 1'!Q136</f>
        <v/>
      </c>
      <c r="G136" s="57">
        <f>'Delphi Round 1'!R136</f>
        <v/>
      </c>
      <c r="H136" s="57" t="inlineStr"/>
      <c r="I136" s="57" t="inlineStr"/>
      <c r="J136" s="57" t="inlineStr"/>
      <c r="K136" s="57" t="inlineStr"/>
      <c r="L136" s="57" t="inlineStr"/>
      <c r="M136" s="57" t="inlineStr"/>
      <c r="N136" s="57" t="inlineStr"/>
      <c r="O136" s="57" t="inlineStr"/>
      <c r="P136" s="57">
        <f>COUNT(H136:O136)</f>
        <v/>
      </c>
      <c r="Q136" s="60">
        <f>IF(P136=0,"",COUNTIF(H136:O136,"&gt;=4")/P136)</f>
        <v/>
      </c>
      <c r="R136" s="60">
        <f>IF(P136=0,"",COUNTIF(H136:O136,"&lt;=2")/P136)</f>
        <v/>
      </c>
      <c r="S136" s="57">
        <f>IF(P136=0,"",MEDIAN(H136:O136))</f>
        <v/>
      </c>
      <c r="T136" s="57">
        <f>IF(G136&lt;&gt;"Round 2",G136,IF(P136=0,"Awaiting Round 2",IF(Q136&gt;=0.8,"Include",IF(R136&gt;=0.8,"Exclude","No consensus"))))</f>
        <v/>
      </c>
      <c r="U136" s="57" t="inlineStr"/>
    </row>
    <row r="137">
      <c r="A137" s="57" t="inlineStr">
        <is>
          <t>Thoracic endovascular aortic repair (TEVAR)</t>
        </is>
      </c>
      <c r="B137" s="57" t="inlineStr">
        <is>
          <t>Stroke</t>
        </is>
      </c>
      <c r="C137" s="57" t="inlineStr">
        <is>
          <t>Core candidate</t>
        </is>
      </c>
      <c r="D137" s="60">
        <f>'Delphi Round 1'!O137</f>
        <v/>
      </c>
      <c r="E137" s="60">
        <f>'Delphi Round 1'!P137</f>
        <v/>
      </c>
      <c r="F137" s="57">
        <f>'Delphi Round 1'!Q137</f>
        <v/>
      </c>
      <c r="G137" s="57">
        <f>'Delphi Round 1'!R137</f>
        <v/>
      </c>
      <c r="H137" s="57" t="inlineStr"/>
      <c r="I137" s="57" t="inlineStr"/>
      <c r="J137" s="57" t="inlineStr"/>
      <c r="K137" s="57" t="inlineStr"/>
      <c r="L137" s="57" t="inlineStr"/>
      <c r="M137" s="57" t="inlineStr"/>
      <c r="N137" s="57" t="inlineStr"/>
      <c r="O137" s="57" t="inlineStr"/>
      <c r="P137" s="57">
        <f>COUNT(H137:O137)</f>
        <v/>
      </c>
      <c r="Q137" s="60">
        <f>IF(P137=0,"",COUNTIF(H137:O137,"&gt;=4")/P137)</f>
        <v/>
      </c>
      <c r="R137" s="60">
        <f>IF(P137=0,"",COUNTIF(H137:O137,"&lt;=2")/P137)</f>
        <v/>
      </c>
      <c r="S137" s="57">
        <f>IF(P137=0,"",MEDIAN(H137:O137))</f>
        <v/>
      </c>
      <c r="T137" s="57">
        <f>IF(G137&lt;&gt;"Round 2",G137,IF(P137=0,"Awaiting Round 2",IF(Q137&gt;=0.8,"Include",IF(R137&gt;=0.8,"Exclude","No consensus"))))</f>
        <v/>
      </c>
      <c r="U137" s="57" t="inlineStr"/>
    </row>
    <row r="138">
      <c r="A138" s="57" t="inlineStr">
        <is>
          <t>Thoracic endovascular aortic repair (TEVAR)</t>
        </is>
      </c>
      <c r="B138" s="57" t="inlineStr">
        <is>
          <t>endoleak</t>
        </is>
      </c>
      <c r="C138" s="57" t="inlineStr">
        <is>
          <t>Core candidate</t>
        </is>
      </c>
      <c r="D138" s="60">
        <f>'Delphi Round 1'!O138</f>
        <v/>
      </c>
      <c r="E138" s="60">
        <f>'Delphi Round 1'!P138</f>
        <v/>
      </c>
      <c r="F138" s="57">
        <f>'Delphi Round 1'!Q138</f>
        <v/>
      </c>
      <c r="G138" s="57">
        <f>'Delphi Round 1'!R138</f>
        <v/>
      </c>
      <c r="H138" s="57" t="inlineStr"/>
      <c r="I138" s="57" t="inlineStr"/>
      <c r="J138" s="57" t="inlineStr"/>
      <c r="K138" s="57" t="inlineStr"/>
      <c r="L138" s="57" t="inlineStr"/>
      <c r="M138" s="57" t="inlineStr"/>
      <c r="N138" s="57" t="inlineStr"/>
      <c r="O138" s="57" t="inlineStr"/>
      <c r="P138" s="57">
        <f>COUNT(H138:O138)</f>
        <v/>
      </c>
      <c r="Q138" s="60">
        <f>IF(P138=0,"",COUNTIF(H138:O138,"&gt;=4")/P138)</f>
        <v/>
      </c>
      <c r="R138" s="60">
        <f>IF(P138=0,"",COUNTIF(H138:O138,"&lt;=2")/P138)</f>
        <v/>
      </c>
      <c r="S138" s="57">
        <f>IF(P138=0,"",MEDIAN(H138:O138))</f>
        <v/>
      </c>
      <c r="T138" s="57">
        <f>IF(G138&lt;&gt;"Round 2",G138,IF(P138=0,"Awaiting Round 2",IF(Q138&gt;=0.8,"Include",IF(R138&gt;=0.8,"Exclude","No consensus"))))</f>
        <v/>
      </c>
      <c r="U138" s="57" t="inlineStr"/>
    </row>
    <row r="139">
      <c r="A139" s="57" t="inlineStr">
        <is>
          <t>Thoracic endovascular aortic repair (TEVAR)</t>
        </is>
      </c>
      <c r="B139" s="57" t="inlineStr">
        <is>
          <t>retrograde dissection</t>
        </is>
      </c>
      <c r="C139" s="57" t="inlineStr">
        <is>
          <t>Core candidate</t>
        </is>
      </c>
      <c r="D139" s="60">
        <f>'Delphi Round 1'!O139</f>
        <v/>
      </c>
      <c r="E139" s="60">
        <f>'Delphi Round 1'!P139</f>
        <v/>
      </c>
      <c r="F139" s="57">
        <f>'Delphi Round 1'!Q139</f>
        <v/>
      </c>
      <c r="G139" s="57">
        <f>'Delphi Round 1'!R139</f>
        <v/>
      </c>
      <c r="H139" s="57" t="inlineStr"/>
      <c r="I139" s="57" t="inlineStr"/>
      <c r="J139" s="57" t="inlineStr"/>
      <c r="K139" s="57" t="inlineStr"/>
      <c r="L139" s="57" t="inlineStr"/>
      <c r="M139" s="57" t="inlineStr"/>
      <c r="N139" s="57" t="inlineStr"/>
      <c r="O139" s="57" t="inlineStr"/>
      <c r="P139" s="57">
        <f>COUNT(H139:O139)</f>
        <v/>
      </c>
      <c r="Q139" s="60">
        <f>IF(P139=0,"",COUNTIF(H139:O139,"&gt;=4")/P139)</f>
        <v/>
      </c>
      <c r="R139" s="60">
        <f>IF(P139=0,"",COUNTIF(H139:O139,"&lt;=2")/P139)</f>
        <v/>
      </c>
      <c r="S139" s="57">
        <f>IF(P139=0,"",MEDIAN(H139:O139))</f>
        <v/>
      </c>
      <c r="T139" s="57">
        <f>IF(G139&lt;&gt;"Round 2",G139,IF(P139=0,"Awaiting Round 2",IF(Q139&gt;=0.8,"Include",IF(R139&gt;=0.8,"Exclude","No consensus"))))</f>
        <v/>
      </c>
      <c r="U139" s="57" t="inlineStr"/>
    </row>
    <row r="140">
      <c r="A140" s="57" t="inlineStr">
        <is>
          <t>Thoracic endovascular aortic repair (TEVAR)</t>
        </is>
      </c>
      <c r="B140" s="57" t="inlineStr">
        <is>
          <t>graft failure</t>
        </is>
      </c>
      <c r="C140" s="57" t="inlineStr">
        <is>
          <t>Core candidate</t>
        </is>
      </c>
      <c r="D140" s="60">
        <f>'Delphi Round 1'!O140</f>
        <v/>
      </c>
      <c r="E140" s="60">
        <f>'Delphi Round 1'!P140</f>
        <v/>
      </c>
      <c r="F140" s="57">
        <f>'Delphi Round 1'!Q140</f>
        <v/>
      </c>
      <c r="G140" s="57">
        <f>'Delphi Round 1'!R140</f>
        <v/>
      </c>
      <c r="H140" s="57" t="inlineStr"/>
      <c r="I140" s="57" t="inlineStr"/>
      <c r="J140" s="57" t="inlineStr"/>
      <c r="K140" s="57" t="inlineStr"/>
      <c r="L140" s="57" t="inlineStr"/>
      <c r="M140" s="57" t="inlineStr"/>
      <c r="N140" s="57" t="inlineStr"/>
      <c r="O140" s="57" t="inlineStr"/>
      <c r="P140" s="57">
        <f>COUNT(H140:O140)</f>
        <v/>
      </c>
      <c r="Q140" s="60">
        <f>IF(P140=0,"",COUNTIF(H140:O140,"&gt;=4")/P140)</f>
        <v/>
      </c>
      <c r="R140" s="60">
        <f>IF(P140=0,"",COUNTIF(H140:O140,"&lt;=2")/P140)</f>
        <v/>
      </c>
      <c r="S140" s="57">
        <f>IF(P140=0,"",MEDIAN(H140:O140))</f>
        <v/>
      </c>
      <c r="T140" s="57">
        <f>IF(G140&lt;&gt;"Round 2",G140,IF(P140=0,"Awaiting Round 2",IF(Q140&gt;=0.8,"Include",IF(R140&gt;=0.8,"Exclude","No consensus"))))</f>
        <v/>
      </c>
      <c r="U140" s="57" t="inlineStr"/>
    </row>
    <row r="141">
      <c r="A141" s="57" t="inlineStr">
        <is>
          <t>Thoracic endovascular aortic repair (TEVAR)</t>
        </is>
      </c>
      <c r="B141" s="57" t="inlineStr">
        <is>
          <t>renal/visceral/limb malperfusion</t>
        </is>
      </c>
      <c r="C141" s="57" t="inlineStr">
        <is>
          <t>Core candidate</t>
        </is>
      </c>
      <c r="D141" s="60">
        <f>'Delphi Round 1'!O141</f>
        <v/>
      </c>
      <c r="E141" s="60">
        <f>'Delphi Round 1'!P141</f>
        <v/>
      </c>
      <c r="F141" s="57">
        <f>'Delphi Round 1'!Q141</f>
        <v/>
      </c>
      <c r="G141" s="57">
        <f>'Delphi Round 1'!R141</f>
        <v/>
      </c>
      <c r="H141" s="57" t="inlineStr"/>
      <c r="I141" s="57" t="inlineStr"/>
      <c r="J141" s="57" t="inlineStr"/>
      <c r="K141" s="57" t="inlineStr"/>
      <c r="L141" s="57" t="inlineStr"/>
      <c r="M141" s="57" t="inlineStr"/>
      <c r="N141" s="57" t="inlineStr"/>
      <c r="O141" s="57" t="inlineStr"/>
      <c r="P141" s="57">
        <f>COUNT(H141:O141)</f>
        <v/>
      </c>
      <c r="Q141" s="60">
        <f>IF(P141=0,"",COUNTIF(H141:O141,"&gt;=4")/P141)</f>
        <v/>
      </c>
      <c r="R141" s="60">
        <f>IF(P141=0,"",COUNTIF(H141:O141,"&lt;=2")/P141)</f>
        <v/>
      </c>
      <c r="S141" s="57">
        <f>IF(P141=0,"",MEDIAN(H141:O141))</f>
        <v/>
      </c>
      <c r="T141" s="57">
        <f>IF(G141&lt;&gt;"Round 2",G141,IF(P141=0,"Awaiting Round 2",IF(Q141&gt;=0.8,"Include",IF(R141&gt;=0.8,"Exclude","No consensus"))))</f>
        <v/>
      </c>
      <c r="U141" s="57" t="inlineStr"/>
    </row>
    <row r="142">
      <c r="A142" s="57" t="inlineStr">
        <is>
          <t>Thoracic endovascular aortic repair (TEVAR)</t>
        </is>
      </c>
      <c r="B142" s="57" t="inlineStr">
        <is>
          <t>Spinal cord ischaemia/paraplegia</t>
        </is>
      </c>
      <c r="C142" s="57" t="inlineStr">
        <is>
          <t>Core candidate</t>
        </is>
      </c>
      <c r="D142" s="60">
        <f>'Delphi Round 1'!O142</f>
        <v/>
      </c>
      <c r="E142" s="60">
        <f>'Delphi Round 1'!P142</f>
        <v/>
      </c>
      <c r="F142" s="57">
        <f>'Delphi Round 1'!Q142</f>
        <v/>
      </c>
      <c r="G142" s="57">
        <f>'Delphi Round 1'!R142</f>
        <v/>
      </c>
      <c r="H142" s="57" t="inlineStr"/>
      <c r="I142" s="57" t="inlineStr"/>
      <c r="J142" s="57" t="inlineStr"/>
      <c r="K142" s="57" t="inlineStr"/>
      <c r="L142" s="57" t="inlineStr"/>
      <c r="M142" s="57" t="inlineStr"/>
      <c r="N142" s="57" t="inlineStr"/>
      <c r="O142" s="57" t="inlineStr"/>
      <c r="P142" s="57">
        <f>COUNT(H142:O142)</f>
        <v/>
      </c>
      <c r="Q142" s="60">
        <f>IF(P142=0,"",COUNTIF(H142:O142,"&gt;=4")/P142)</f>
        <v/>
      </c>
      <c r="R142" s="60">
        <f>IF(P142=0,"",COUNTIF(H142:O142,"&lt;=2")/P142)</f>
        <v/>
      </c>
      <c r="S142" s="57">
        <f>IF(P142=0,"",MEDIAN(H142:O142))</f>
        <v/>
      </c>
      <c r="T142" s="57">
        <f>IF(G142&lt;&gt;"Round 2",G142,IF(P142=0,"Awaiting Round 2",IF(Q142&gt;=0.8,"Include",IF(R142&gt;=0.8,"Exclude","No consensus"))))</f>
        <v/>
      </c>
      <c r="U142" s="57" t="inlineStr"/>
    </row>
    <row r="143">
      <c r="A143" s="57" t="inlineStr">
        <is>
          <t>Thoracic endovascular aortic repair (TEVAR)</t>
        </is>
      </c>
      <c r="B143" s="57" t="inlineStr">
        <is>
          <t>aortic rupture/death</t>
        </is>
      </c>
      <c r="C143" s="57" t="inlineStr">
        <is>
          <t>Core candidate</t>
        </is>
      </c>
      <c r="D143" s="60">
        <f>'Delphi Round 1'!O143</f>
        <v/>
      </c>
      <c r="E143" s="60">
        <f>'Delphi Round 1'!P143</f>
        <v/>
      </c>
      <c r="F143" s="57">
        <f>'Delphi Round 1'!Q143</f>
        <v/>
      </c>
      <c r="G143" s="57">
        <f>'Delphi Round 1'!R143</f>
        <v/>
      </c>
      <c r="H143" s="57" t="inlineStr"/>
      <c r="I143" s="57" t="inlineStr"/>
      <c r="J143" s="57" t="inlineStr"/>
      <c r="K143" s="57" t="inlineStr"/>
      <c r="L143" s="57" t="inlineStr"/>
      <c r="M143" s="57" t="inlineStr"/>
      <c r="N143" s="57" t="inlineStr"/>
      <c r="O143" s="57" t="inlineStr"/>
      <c r="P143" s="57">
        <f>COUNT(H143:O143)</f>
        <v/>
      </c>
      <c r="Q143" s="60">
        <f>IF(P143=0,"",COUNTIF(H143:O143,"&gt;=4")/P143)</f>
        <v/>
      </c>
      <c r="R143" s="60">
        <f>IF(P143=0,"",COUNTIF(H143:O143,"&lt;=2")/P143)</f>
        <v/>
      </c>
      <c r="S143" s="57">
        <f>IF(P143=0,"",MEDIAN(H143:O143))</f>
        <v/>
      </c>
      <c r="T143" s="57">
        <f>IF(G143&lt;&gt;"Round 2",G143,IF(P143=0,"Awaiting Round 2",IF(Q143&gt;=0.8,"Include",IF(R143&gt;=0.8,"Exclude","No consensus"))))</f>
        <v/>
      </c>
      <c r="U143" s="57" t="inlineStr"/>
    </row>
    <row r="144">
      <c r="A144" s="57" t="inlineStr">
        <is>
          <t>Thoracic endovascular aortic repair (TEVAR)</t>
        </is>
      </c>
      <c r="B144" s="57" t="inlineStr">
        <is>
          <t>Iliac/femoral injury, bleeding, rupture or limb ischaemia</t>
        </is>
      </c>
      <c r="C144" s="57" t="inlineStr">
        <is>
          <t>Core candidate</t>
        </is>
      </c>
      <c r="D144" s="60">
        <f>'Delphi Round 1'!O144</f>
        <v/>
      </c>
      <c r="E144" s="60">
        <f>'Delphi Round 1'!P144</f>
        <v/>
      </c>
      <c r="F144" s="57">
        <f>'Delphi Round 1'!Q144</f>
        <v/>
      </c>
      <c r="G144" s="57">
        <f>'Delphi Round 1'!R144</f>
        <v/>
      </c>
      <c r="H144" s="57" t="inlineStr"/>
      <c r="I144" s="57" t="inlineStr"/>
      <c r="J144" s="57" t="inlineStr"/>
      <c r="K144" s="57" t="inlineStr"/>
      <c r="L144" s="57" t="inlineStr"/>
      <c r="M144" s="57" t="inlineStr"/>
      <c r="N144" s="57" t="inlineStr"/>
      <c r="O144" s="57" t="inlineStr"/>
      <c r="P144" s="57">
        <f>COUNT(H144:O144)</f>
        <v/>
      </c>
      <c r="Q144" s="60">
        <f>IF(P144=0,"",COUNTIF(H144:O144,"&gt;=4")/P144)</f>
        <v/>
      </c>
      <c r="R144" s="60">
        <f>IF(P144=0,"",COUNTIF(H144:O144,"&lt;=2")/P144)</f>
        <v/>
      </c>
      <c r="S144" s="57">
        <f>IF(P144=0,"",MEDIAN(H144:O144))</f>
        <v/>
      </c>
      <c r="T144" s="57">
        <f>IF(G144&lt;&gt;"Round 2",G144,IF(P144=0,"Awaiting Round 2",IF(Q144&gt;=0.8,"Include",IF(R144&gt;=0.8,"Exclude","No consensus"))))</f>
        <v/>
      </c>
      <c r="U144" s="57" t="inlineStr"/>
    </row>
    <row r="145">
      <c r="A145" s="57" t="inlineStr">
        <is>
          <t>Thoracic endovascular aortic repair (TEVAR)</t>
        </is>
      </c>
      <c r="B145" s="57" t="inlineStr">
        <is>
          <t>Contrast reaction/AKI and radiation</t>
        </is>
      </c>
      <c r="C145" s="57" t="inlineStr">
        <is>
          <t>Conditional / patient-specific</t>
        </is>
      </c>
      <c r="D145" s="60">
        <f>'Delphi Round 1'!O145</f>
        <v/>
      </c>
      <c r="E145" s="60">
        <f>'Delphi Round 1'!P145</f>
        <v/>
      </c>
      <c r="F145" s="57">
        <f>'Delphi Round 1'!Q145</f>
        <v/>
      </c>
      <c r="G145" s="57">
        <f>'Delphi Round 1'!R145</f>
        <v/>
      </c>
      <c r="H145" s="57" t="inlineStr"/>
      <c r="I145" s="57" t="inlineStr"/>
      <c r="J145" s="57" t="inlineStr"/>
      <c r="K145" s="57" t="inlineStr"/>
      <c r="L145" s="57" t="inlineStr"/>
      <c r="M145" s="57" t="inlineStr"/>
      <c r="N145" s="57" t="inlineStr"/>
      <c r="O145" s="57" t="inlineStr"/>
      <c r="P145" s="57">
        <f>COUNT(H145:O145)</f>
        <v/>
      </c>
      <c r="Q145" s="60">
        <f>IF(P145=0,"",COUNTIF(H145:O145,"&gt;=4")/P145)</f>
        <v/>
      </c>
      <c r="R145" s="60">
        <f>IF(P145=0,"",COUNTIF(H145:O145,"&lt;=2")/P145)</f>
        <v/>
      </c>
      <c r="S145" s="57">
        <f>IF(P145=0,"",MEDIAN(H145:O145))</f>
        <v/>
      </c>
      <c r="T145" s="57">
        <f>IF(G145&lt;&gt;"Round 2",G145,IF(P145=0,"Awaiting Round 2",IF(Q145&gt;=0.8,"Include",IF(R145&gt;=0.8,"Exclude","No consensus"))))</f>
        <v/>
      </c>
      <c r="U145" s="57" t="inlineStr"/>
    </row>
    <row r="146">
      <c r="A146" s="57" t="inlineStr">
        <is>
          <t>Thoracic endovascular aortic repair (TEVAR)</t>
        </is>
      </c>
      <c r="B146" s="57" t="inlineStr">
        <is>
          <t>Aortic coverage length, collateral circulation, previous repair, indication, access anatomy</t>
        </is>
      </c>
      <c r="C146" s="57" t="inlineStr">
        <is>
          <t>Conditional / patient-specific</t>
        </is>
      </c>
      <c r="D146" s="60">
        <f>'Delphi Round 1'!O146</f>
        <v/>
      </c>
      <c r="E146" s="60">
        <f>'Delphi Round 1'!P146</f>
        <v/>
      </c>
      <c r="F146" s="57">
        <f>'Delphi Round 1'!Q146</f>
        <v/>
      </c>
      <c r="G146" s="57">
        <f>'Delphi Round 1'!R146</f>
        <v/>
      </c>
      <c r="H146" s="57" t="inlineStr"/>
      <c r="I146" s="57" t="inlineStr"/>
      <c r="J146" s="57" t="inlineStr"/>
      <c r="K146" s="57" t="inlineStr"/>
      <c r="L146" s="57" t="inlineStr"/>
      <c r="M146" s="57" t="inlineStr"/>
      <c r="N146" s="57" t="inlineStr"/>
      <c r="O146" s="57" t="inlineStr"/>
      <c r="P146" s="57">
        <f>COUNT(H146:O146)</f>
        <v/>
      </c>
      <c r="Q146" s="60">
        <f>IF(P146=0,"",COUNTIF(H146:O146,"&gt;=4")/P146)</f>
        <v/>
      </c>
      <c r="R146" s="60">
        <f>IF(P146=0,"",COUNTIF(H146:O146,"&lt;=2")/P146)</f>
        <v/>
      </c>
      <c r="S146" s="57">
        <f>IF(P146=0,"",MEDIAN(H146:O146))</f>
        <v/>
      </c>
      <c r="T146" s="57">
        <f>IF(G146&lt;&gt;"Round 2",G146,IF(P146=0,"Awaiting Round 2",IF(Q146&gt;=0.8,"Include",IF(R146&gt;=0.8,"Exclude","No consensus"))))</f>
        <v/>
      </c>
      <c r="U146" s="57" t="inlineStr"/>
    </row>
    <row r="147">
      <c r="A147" s="57" t="inlineStr">
        <is>
          <t>Thrombolysis of dialysis access</t>
        </is>
      </c>
      <c r="B147" s="57" t="inlineStr">
        <is>
          <t>Access bleeding/haematoma</t>
        </is>
      </c>
      <c r="C147" s="57" t="inlineStr">
        <is>
          <t>Core candidate</t>
        </is>
      </c>
      <c r="D147" s="60">
        <f>'Delphi Round 1'!O147</f>
        <v/>
      </c>
      <c r="E147" s="60">
        <f>'Delphi Round 1'!P147</f>
        <v/>
      </c>
      <c r="F147" s="57">
        <f>'Delphi Round 1'!Q147</f>
        <v/>
      </c>
      <c r="G147" s="57">
        <f>'Delphi Round 1'!R147</f>
        <v/>
      </c>
      <c r="H147" s="57" t="inlineStr"/>
      <c r="I147" s="57" t="inlineStr"/>
      <c r="J147" s="57" t="inlineStr"/>
      <c r="K147" s="57" t="inlineStr"/>
      <c r="L147" s="57" t="inlineStr"/>
      <c r="M147" s="57" t="inlineStr"/>
      <c r="N147" s="57" t="inlineStr"/>
      <c r="O147" s="57" t="inlineStr"/>
      <c r="P147" s="57">
        <f>COUNT(H147:O147)</f>
        <v/>
      </c>
      <c r="Q147" s="60">
        <f>IF(P147=0,"",COUNTIF(H147:O147,"&gt;=4")/P147)</f>
        <v/>
      </c>
      <c r="R147" s="60">
        <f>IF(P147=0,"",COUNTIF(H147:O147,"&lt;=2")/P147)</f>
        <v/>
      </c>
      <c r="S147" s="57">
        <f>IF(P147=0,"",MEDIAN(H147:O147))</f>
        <v/>
      </c>
      <c r="T147" s="57">
        <f>IF(G147&lt;&gt;"Round 2",G147,IF(P147=0,"Awaiting Round 2",IF(Q147&gt;=0.8,"Include",IF(R147&gt;=0.8,"Exclude","No consensus"))))</f>
        <v/>
      </c>
      <c r="U147" s="57" t="inlineStr"/>
    </row>
    <row r="148">
      <c r="A148" s="57" t="inlineStr">
        <is>
          <t>Thrombolysis of dialysis access</t>
        </is>
      </c>
      <c r="B148" s="57" t="inlineStr">
        <is>
          <t>failure or early rethrombosis</t>
        </is>
      </c>
      <c r="C148" s="57" t="inlineStr">
        <is>
          <t>Core candidate</t>
        </is>
      </c>
      <c r="D148" s="60">
        <f>'Delphi Round 1'!O148</f>
        <v/>
      </c>
      <c r="E148" s="60">
        <f>'Delphi Round 1'!P148</f>
        <v/>
      </c>
      <c r="F148" s="57">
        <f>'Delphi Round 1'!Q148</f>
        <v/>
      </c>
      <c r="G148" s="57">
        <f>'Delphi Round 1'!R148</f>
        <v/>
      </c>
      <c r="H148" s="57" t="inlineStr"/>
      <c r="I148" s="57" t="inlineStr"/>
      <c r="J148" s="57" t="inlineStr"/>
      <c r="K148" s="57" t="inlineStr"/>
      <c r="L148" s="57" t="inlineStr"/>
      <c r="M148" s="57" t="inlineStr"/>
      <c r="N148" s="57" t="inlineStr"/>
      <c r="O148" s="57" t="inlineStr"/>
      <c r="P148" s="57">
        <f>COUNT(H148:O148)</f>
        <v/>
      </c>
      <c r="Q148" s="60">
        <f>IF(P148=0,"",COUNTIF(H148:O148,"&gt;=4")/P148)</f>
        <v/>
      </c>
      <c r="R148" s="60">
        <f>IF(P148=0,"",COUNTIF(H148:O148,"&lt;=2")/P148)</f>
        <v/>
      </c>
      <c r="S148" s="57">
        <f>IF(P148=0,"",MEDIAN(H148:O148))</f>
        <v/>
      </c>
      <c r="T148" s="57">
        <f>IF(G148&lt;&gt;"Round 2",G148,IF(P148=0,"Awaiting Round 2",IF(Q148&gt;=0.8,"Include",IF(R148&gt;=0.8,"Exclude","No consensus"))))</f>
        <v/>
      </c>
      <c r="U148" s="57" t="inlineStr"/>
    </row>
    <row r="149">
      <c r="A149" s="57" t="inlineStr">
        <is>
          <t>Thrombolysis of dialysis access</t>
        </is>
      </c>
      <c r="B149" s="57" t="inlineStr">
        <is>
          <t>Access rupture/extravasation</t>
        </is>
      </c>
      <c r="C149" s="57" t="inlineStr">
        <is>
          <t>Core candidate</t>
        </is>
      </c>
      <c r="D149" s="60">
        <f>'Delphi Round 1'!O149</f>
        <v/>
      </c>
      <c r="E149" s="60">
        <f>'Delphi Round 1'!P149</f>
        <v/>
      </c>
      <c r="F149" s="57">
        <f>'Delphi Round 1'!Q149</f>
        <v/>
      </c>
      <c r="G149" s="57">
        <f>'Delphi Round 1'!R149</f>
        <v/>
      </c>
      <c r="H149" s="57" t="inlineStr"/>
      <c r="I149" s="57" t="inlineStr"/>
      <c r="J149" s="57" t="inlineStr"/>
      <c r="K149" s="57" t="inlineStr"/>
      <c r="L149" s="57" t="inlineStr"/>
      <c r="M149" s="57" t="inlineStr"/>
      <c r="N149" s="57" t="inlineStr"/>
      <c r="O149" s="57" t="inlineStr"/>
      <c r="P149" s="57">
        <f>COUNT(H149:O149)</f>
        <v/>
      </c>
      <c r="Q149" s="60">
        <f>IF(P149=0,"",COUNTIF(H149:O149,"&gt;=4")/P149)</f>
        <v/>
      </c>
      <c r="R149" s="60">
        <f>IF(P149=0,"",COUNTIF(H149:O149,"&lt;=2")/P149)</f>
        <v/>
      </c>
      <c r="S149" s="57">
        <f>IF(P149=0,"",MEDIAN(H149:O149))</f>
        <v/>
      </c>
      <c r="T149" s="57">
        <f>IF(G149&lt;&gt;"Round 2",G149,IF(P149=0,"Awaiting Round 2",IF(Q149&gt;=0.8,"Include",IF(R149&gt;=0.8,"Exclude","No consensus"))))</f>
        <v/>
      </c>
      <c r="U149" s="57" t="inlineStr"/>
    </row>
    <row r="150">
      <c r="A150" s="57" t="inlineStr">
        <is>
          <t>Thrombolysis of dialysis access</t>
        </is>
      </c>
      <c r="B150" s="57" t="inlineStr">
        <is>
          <t>distal embolisation/hand ischaemia</t>
        </is>
      </c>
      <c r="C150" s="57" t="inlineStr">
        <is>
          <t>Core candidate</t>
        </is>
      </c>
      <c r="D150" s="60">
        <f>'Delphi Round 1'!O150</f>
        <v/>
      </c>
      <c r="E150" s="60">
        <f>'Delphi Round 1'!P150</f>
        <v/>
      </c>
      <c r="F150" s="57">
        <f>'Delphi Round 1'!Q150</f>
        <v/>
      </c>
      <c r="G150" s="57">
        <f>'Delphi Round 1'!R150</f>
        <v/>
      </c>
      <c r="H150" s="57" t="inlineStr"/>
      <c r="I150" s="57" t="inlineStr"/>
      <c r="J150" s="57" t="inlineStr"/>
      <c r="K150" s="57" t="inlineStr"/>
      <c r="L150" s="57" t="inlineStr"/>
      <c r="M150" s="57" t="inlineStr"/>
      <c r="N150" s="57" t="inlineStr"/>
      <c r="O150" s="57" t="inlineStr"/>
      <c r="P150" s="57">
        <f>COUNT(H150:O150)</f>
        <v/>
      </c>
      <c r="Q150" s="60">
        <f>IF(P150=0,"",COUNTIF(H150:O150,"&gt;=4")/P150)</f>
        <v/>
      </c>
      <c r="R150" s="60">
        <f>IF(P150=0,"",COUNTIF(H150:O150,"&lt;=2")/P150)</f>
        <v/>
      </c>
      <c r="S150" s="57">
        <f>IF(P150=0,"",MEDIAN(H150:O150))</f>
        <v/>
      </c>
      <c r="T150" s="57">
        <f>IF(G150&lt;&gt;"Round 2",G150,IF(P150=0,"Awaiting Round 2",IF(Q150&gt;=0.8,"Include",IF(R150&gt;=0.8,"Exclude","No consensus"))))</f>
        <v/>
      </c>
      <c r="U150" s="57" t="inlineStr"/>
    </row>
    <row r="151">
      <c r="A151" s="57" t="inlineStr">
        <is>
          <t>Thrombolysis of dialysis access</t>
        </is>
      </c>
      <c r="B151" s="57" t="inlineStr">
        <is>
          <t>repeat treatment</t>
        </is>
      </c>
      <c r="C151" s="57" t="inlineStr">
        <is>
          <t>Core candidate</t>
        </is>
      </c>
      <c r="D151" s="60">
        <f>'Delphi Round 1'!O151</f>
        <v/>
      </c>
      <c r="E151" s="60">
        <f>'Delphi Round 1'!P151</f>
        <v/>
      </c>
      <c r="F151" s="57">
        <f>'Delphi Round 1'!Q151</f>
        <v/>
      </c>
      <c r="G151" s="57">
        <f>'Delphi Round 1'!R151</f>
        <v/>
      </c>
      <c r="H151" s="57" t="inlineStr"/>
      <c r="I151" s="57" t="inlineStr"/>
      <c r="J151" s="57" t="inlineStr"/>
      <c r="K151" s="57" t="inlineStr"/>
      <c r="L151" s="57" t="inlineStr"/>
      <c r="M151" s="57" t="inlineStr"/>
      <c r="N151" s="57" t="inlineStr"/>
      <c r="O151" s="57" t="inlineStr"/>
      <c r="P151" s="57">
        <f>COUNT(H151:O151)</f>
        <v/>
      </c>
      <c r="Q151" s="60">
        <f>IF(P151=0,"",COUNTIF(H151:O151,"&gt;=4")/P151)</f>
        <v/>
      </c>
      <c r="R151" s="60">
        <f>IF(P151=0,"",COUNTIF(H151:O151,"&lt;=2")/P151)</f>
        <v/>
      </c>
      <c r="S151" s="57">
        <f>IF(P151=0,"",MEDIAN(H151:O151))</f>
        <v/>
      </c>
      <c r="T151" s="57">
        <f>IF(G151&lt;&gt;"Round 2",G151,IF(P151=0,"Awaiting Round 2",IF(Q151&gt;=0.8,"Include",IF(R151&gt;=0.8,"Exclude","No consensus"))))</f>
        <v/>
      </c>
      <c r="U151" s="57" t="inlineStr"/>
    </row>
    <row r="152">
      <c r="A152" s="57" t="inlineStr">
        <is>
          <t>Thrombolysis of dialysis access</t>
        </is>
      </c>
      <c r="B152" s="57" t="inlineStr">
        <is>
          <t>Systemic haemorrhage including intracranial bleeding when thrombolytic used</t>
        </is>
      </c>
      <c r="C152" s="57" t="inlineStr">
        <is>
          <t>Core candidate</t>
        </is>
      </c>
      <c r="D152" s="60">
        <f>'Delphi Round 1'!O152</f>
        <v/>
      </c>
      <c r="E152" s="60">
        <f>'Delphi Round 1'!P152</f>
        <v/>
      </c>
      <c r="F152" s="57">
        <f>'Delphi Round 1'!Q152</f>
        <v/>
      </c>
      <c r="G152" s="57">
        <f>'Delphi Round 1'!R152</f>
        <v/>
      </c>
      <c r="H152" s="57" t="inlineStr"/>
      <c r="I152" s="57" t="inlineStr"/>
      <c r="J152" s="57" t="inlineStr"/>
      <c r="K152" s="57" t="inlineStr"/>
      <c r="L152" s="57" t="inlineStr"/>
      <c r="M152" s="57" t="inlineStr"/>
      <c r="N152" s="57" t="inlineStr"/>
      <c r="O152" s="57" t="inlineStr"/>
      <c r="P152" s="57">
        <f>COUNT(H152:O152)</f>
        <v/>
      </c>
      <c r="Q152" s="60">
        <f>IF(P152=0,"",COUNTIF(H152:O152,"&gt;=4")/P152)</f>
        <v/>
      </c>
      <c r="R152" s="60">
        <f>IF(P152=0,"",COUNTIF(H152:O152,"&lt;=2")/P152)</f>
        <v/>
      </c>
      <c r="S152" s="57">
        <f>IF(P152=0,"",MEDIAN(H152:O152))</f>
        <v/>
      </c>
      <c r="T152" s="57">
        <f>IF(G152&lt;&gt;"Round 2",G152,IF(P152=0,"Awaiting Round 2",IF(Q152&gt;=0.8,"Include",IF(R152&gt;=0.8,"Exclude","No consensus"))))</f>
        <v/>
      </c>
      <c r="U152" s="57" t="inlineStr"/>
    </row>
    <row r="153">
      <c r="A153" s="57" t="inlineStr">
        <is>
          <t>Thrombolysis of dialysis access</t>
        </is>
      </c>
      <c r="B153" s="57" t="inlineStr">
        <is>
          <t>permanent access loss</t>
        </is>
      </c>
      <c r="C153" s="57" t="inlineStr">
        <is>
          <t>Core candidate</t>
        </is>
      </c>
      <c r="D153" s="60">
        <f>'Delphi Round 1'!O153</f>
        <v/>
      </c>
      <c r="E153" s="60">
        <f>'Delphi Round 1'!P153</f>
        <v/>
      </c>
      <c r="F153" s="57">
        <f>'Delphi Round 1'!Q153</f>
        <v/>
      </c>
      <c r="G153" s="57">
        <f>'Delphi Round 1'!R153</f>
        <v/>
      </c>
      <c r="H153" s="57" t="inlineStr"/>
      <c r="I153" s="57" t="inlineStr"/>
      <c r="J153" s="57" t="inlineStr"/>
      <c r="K153" s="57" t="inlineStr"/>
      <c r="L153" s="57" t="inlineStr"/>
      <c r="M153" s="57" t="inlineStr"/>
      <c r="N153" s="57" t="inlineStr"/>
      <c r="O153" s="57" t="inlineStr"/>
      <c r="P153" s="57">
        <f>COUNT(H153:O153)</f>
        <v/>
      </c>
      <c r="Q153" s="60">
        <f>IF(P153=0,"",COUNTIF(H153:O153,"&gt;=4")/P153)</f>
        <v/>
      </c>
      <c r="R153" s="60">
        <f>IF(P153=0,"",COUNTIF(H153:O153,"&lt;=2")/P153)</f>
        <v/>
      </c>
      <c r="S153" s="57">
        <f>IF(P153=0,"",MEDIAN(H153:O153))</f>
        <v/>
      </c>
      <c r="T153" s="57">
        <f>IF(G153&lt;&gt;"Round 2",G153,IF(P153=0,"Awaiting Round 2",IF(Q153&gt;=0.8,"Include",IF(R153&gt;=0.8,"Exclude","No consensus"))))</f>
        <v/>
      </c>
      <c r="U153" s="57" t="inlineStr"/>
    </row>
    <row r="154">
      <c r="A154" s="57" t="inlineStr">
        <is>
          <t>Thrombolysis of dialysis access</t>
        </is>
      </c>
      <c r="B154" s="57" t="inlineStr">
        <is>
          <t>Access puncture bleeding, haematoma, vessel injury</t>
        </is>
      </c>
      <c r="C154" s="57" t="inlineStr">
        <is>
          <t>Core candidate</t>
        </is>
      </c>
      <c r="D154" s="60">
        <f>'Delphi Round 1'!O154</f>
        <v/>
      </c>
      <c r="E154" s="60">
        <f>'Delphi Round 1'!P154</f>
        <v/>
      </c>
      <c r="F154" s="57">
        <f>'Delphi Round 1'!Q154</f>
        <v/>
      </c>
      <c r="G154" s="57">
        <f>'Delphi Round 1'!R154</f>
        <v/>
      </c>
      <c r="H154" s="57" t="inlineStr"/>
      <c r="I154" s="57" t="inlineStr"/>
      <c r="J154" s="57" t="inlineStr"/>
      <c r="K154" s="57" t="inlineStr"/>
      <c r="L154" s="57" t="inlineStr"/>
      <c r="M154" s="57" t="inlineStr"/>
      <c r="N154" s="57" t="inlineStr"/>
      <c r="O154" s="57" t="inlineStr"/>
      <c r="P154" s="57">
        <f>COUNT(H154:O154)</f>
        <v/>
      </c>
      <c r="Q154" s="60">
        <f>IF(P154=0,"",COUNTIF(H154:O154,"&gt;=4")/P154)</f>
        <v/>
      </c>
      <c r="R154" s="60">
        <f>IF(P154=0,"",COUNTIF(H154:O154,"&lt;=2")/P154)</f>
        <v/>
      </c>
      <c r="S154" s="57">
        <f>IF(P154=0,"",MEDIAN(H154:O154))</f>
        <v/>
      </c>
      <c r="T154" s="57">
        <f>IF(G154&lt;&gt;"Round 2",G154,IF(P154=0,"Awaiting Round 2",IF(Q154&gt;=0.8,"Include",IF(R154&gt;=0.8,"Exclude","No consensus"))))</f>
        <v/>
      </c>
      <c r="U154" s="57" t="inlineStr"/>
    </row>
    <row r="155">
      <c r="A155" s="57" t="inlineStr">
        <is>
          <t>Thrombolysis of dialysis access</t>
        </is>
      </c>
      <c r="B155" s="57" t="inlineStr">
        <is>
          <t>Contrast reaction/AKI as relevant</t>
        </is>
      </c>
      <c r="C155" s="57" t="inlineStr">
        <is>
          <t>Conditional / patient-specific</t>
        </is>
      </c>
      <c r="D155" s="60">
        <f>'Delphi Round 1'!O155</f>
        <v/>
      </c>
      <c r="E155" s="60">
        <f>'Delphi Round 1'!P155</f>
        <v/>
      </c>
      <c r="F155" s="57">
        <f>'Delphi Round 1'!Q155</f>
        <v/>
      </c>
      <c r="G155" s="57">
        <f>'Delphi Round 1'!R155</f>
        <v/>
      </c>
      <c r="H155" s="57" t="inlineStr"/>
      <c r="I155" s="57" t="inlineStr"/>
      <c r="J155" s="57" t="inlineStr"/>
      <c r="K155" s="57" t="inlineStr"/>
      <c r="L155" s="57" t="inlineStr"/>
      <c r="M155" s="57" t="inlineStr"/>
      <c r="N155" s="57" t="inlineStr"/>
      <c r="O155" s="57" t="inlineStr"/>
      <c r="P155" s="57">
        <f>COUNT(H155:O155)</f>
        <v/>
      </c>
      <c r="Q155" s="60">
        <f>IF(P155=0,"",COUNTIF(H155:O155,"&gt;=4")/P155)</f>
        <v/>
      </c>
      <c r="R155" s="60">
        <f>IF(P155=0,"",COUNTIF(H155:O155,"&lt;=2")/P155)</f>
        <v/>
      </c>
      <c r="S155" s="57">
        <f>IF(P155=0,"",MEDIAN(H155:O155))</f>
        <v/>
      </c>
      <c r="T155" s="57">
        <f>IF(G155&lt;&gt;"Round 2",G155,IF(P155=0,"Awaiting Round 2",IF(Q155&gt;=0.8,"Include",IF(R155&gt;=0.8,"Exclude","No consensus"))))</f>
        <v/>
      </c>
      <c r="U155" s="57" t="inlineStr"/>
    </row>
    <row r="156">
      <c r="A156" s="57" t="inlineStr">
        <is>
          <t>Thrombolysis of dialysis access</t>
        </is>
      </c>
      <c r="B156" s="57" t="inlineStr">
        <is>
          <t>radiation exposure</t>
        </is>
      </c>
      <c r="C156" s="57" t="inlineStr">
        <is>
          <t>Conditional / patient-specific</t>
        </is>
      </c>
      <c r="D156" s="60">
        <f>'Delphi Round 1'!O156</f>
        <v/>
      </c>
      <c r="E156" s="60">
        <f>'Delphi Round 1'!P156</f>
        <v/>
      </c>
      <c r="F156" s="57">
        <f>'Delphi Round 1'!Q156</f>
        <v/>
      </c>
      <c r="G156" s="57">
        <f>'Delphi Round 1'!R156</f>
        <v/>
      </c>
      <c r="H156" s="57" t="inlineStr"/>
      <c r="I156" s="57" t="inlineStr"/>
      <c r="J156" s="57" t="inlineStr"/>
      <c r="K156" s="57" t="inlineStr"/>
      <c r="L156" s="57" t="inlineStr"/>
      <c r="M156" s="57" t="inlineStr"/>
      <c r="N156" s="57" t="inlineStr"/>
      <c r="O156" s="57" t="inlineStr"/>
      <c r="P156" s="57">
        <f>COUNT(H156:O156)</f>
        <v/>
      </c>
      <c r="Q156" s="60">
        <f>IF(P156=0,"",COUNTIF(H156:O156,"&gt;=4")/P156)</f>
        <v/>
      </c>
      <c r="R156" s="60">
        <f>IF(P156=0,"",COUNTIF(H156:O156,"&lt;=2")/P156)</f>
        <v/>
      </c>
      <c r="S156" s="57">
        <f>IF(P156=0,"",MEDIAN(H156:O156))</f>
        <v/>
      </c>
      <c r="T156" s="57">
        <f>IF(G156&lt;&gt;"Round 2",G156,IF(P156=0,"Awaiting Round 2",IF(Q156&gt;=0.8,"Include",IF(R156&gt;=0.8,"Exclude","No consensus"))))</f>
        <v/>
      </c>
      <c r="U156" s="57" t="inlineStr"/>
    </row>
    <row r="157">
      <c r="A157" s="57" t="inlineStr">
        <is>
          <t>Thrombolysis of dialysis access</t>
        </is>
      </c>
      <c r="B157" s="57" t="inlineStr">
        <is>
          <t>Thrombolytic vs mechanical technique, coagulopathy, recent bleeding, access anatomy</t>
        </is>
      </c>
      <c r="C157" s="57" t="inlineStr">
        <is>
          <t>Conditional / patient-specific</t>
        </is>
      </c>
      <c r="D157" s="60">
        <f>'Delphi Round 1'!O157</f>
        <v/>
      </c>
      <c r="E157" s="60">
        <f>'Delphi Round 1'!P157</f>
        <v/>
      </c>
      <c r="F157" s="57">
        <f>'Delphi Round 1'!Q157</f>
        <v/>
      </c>
      <c r="G157" s="57">
        <f>'Delphi Round 1'!R157</f>
        <v/>
      </c>
      <c r="H157" s="57" t="inlineStr"/>
      <c r="I157" s="57" t="inlineStr"/>
      <c r="J157" s="57" t="inlineStr"/>
      <c r="K157" s="57" t="inlineStr"/>
      <c r="L157" s="57" t="inlineStr"/>
      <c r="M157" s="57" t="inlineStr"/>
      <c r="N157" s="57" t="inlineStr"/>
      <c r="O157" s="57" t="inlineStr"/>
      <c r="P157" s="57">
        <f>COUNT(H157:O157)</f>
        <v/>
      </c>
      <c r="Q157" s="60">
        <f>IF(P157=0,"",COUNTIF(H157:O157,"&gt;=4")/P157)</f>
        <v/>
      </c>
      <c r="R157" s="60">
        <f>IF(P157=0,"",COUNTIF(H157:O157,"&lt;=2")/P157)</f>
        <v/>
      </c>
      <c r="S157" s="57">
        <f>IF(P157=0,"",MEDIAN(H157:O157))</f>
        <v/>
      </c>
      <c r="T157" s="57">
        <f>IF(G157&lt;&gt;"Round 2",G157,IF(P157=0,"Awaiting Round 2",IF(Q157&gt;=0.8,"Include",IF(R157&gt;=0.8,"Exclude","No consensus"))))</f>
        <v/>
      </c>
      <c r="U157" s="57" t="inlineStr"/>
    </row>
    <row r="158">
      <c r="A158" s="57" t="inlineStr">
        <is>
          <t>PTA of dialysis access</t>
        </is>
      </c>
      <c r="B158" s="57" t="inlineStr">
        <is>
          <t>Access-site pain/bleeding</t>
        </is>
      </c>
      <c r="C158" s="57" t="inlineStr">
        <is>
          <t>Core candidate</t>
        </is>
      </c>
      <c r="D158" s="60">
        <f>'Delphi Round 1'!O158</f>
        <v/>
      </c>
      <c r="E158" s="60">
        <f>'Delphi Round 1'!P158</f>
        <v/>
      </c>
      <c r="F158" s="57">
        <f>'Delphi Round 1'!Q158</f>
        <v/>
      </c>
      <c r="G158" s="57">
        <f>'Delphi Round 1'!R158</f>
        <v/>
      </c>
      <c r="H158" s="57" t="inlineStr"/>
      <c r="I158" s="57" t="inlineStr"/>
      <c r="J158" s="57" t="inlineStr"/>
      <c r="K158" s="57" t="inlineStr"/>
      <c r="L158" s="57" t="inlineStr"/>
      <c r="M158" s="57" t="inlineStr"/>
      <c r="N158" s="57" t="inlineStr"/>
      <c r="O158" s="57" t="inlineStr"/>
      <c r="P158" s="57">
        <f>COUNT(H158:O158)</f>
        <v/>
      </c>
      <c r="Q158" s="60">
        <f>IF(P158=0,"",COUNTIF(H158:O158,"&gt;=4")/P158)</f>
        <v/>
      </c>
      <c r="R158" s="60">
        <f>IF(P158=0,"",COUNTIF(H158:O158,"&lt;=2")/P158)</f>
        <v/>
      </c>
      <c r="S158" s="57">
        <f>IF(P158=0,"",MEDIAN(H158:O158))</f>
        <v/>
      </c>
      <c r="T158" s="57">
        <f>IF(G158&lt;&gt;"Round 2",G158,IF(P158=0,"Awaiting Round 2",IF(Q158&gt;=0.8,"Include",IF(R158&gt;=0.8,"Exclude","No consensus"))))</f>
        <v/>
      </c>
      <c r="U158" s="57" t="inlineStr"/>
    </row>
    <row r="159">
      <c r="A159" s="57" t="inlineStr">
        <is>
          <t>PTA of dialysis access</t>
        </is>
      </c>
      <c r="B159" s="57" t="inlineStr">
        <is>
          <t>restenosis/recurrent dysfunction</t>
        </is>
      </c>
      <c r="C159" s="57" t="inlineStr">
        <is>
          <t>Core candidate</t>
        </is>
      </c>
      <c r="D159" s="60">
        <f>'Delphi Round 1'!O159</f>
        <v/>
      </c>
      <c r="E159" s="60">
        <f>'Delphi Round 1'!P159</f>
        <v/>
      </c>
      <c r="F159" s="57">
        <f>'Delphi Round 1'!Q159</f>
        <v/>
      </c>
      <c r="G159" s="57">
        <f>'Delphi Round 1'!R159</f>
        <v/>
      </c>
      <c r="H159" s="57" t="inlineStr"/>
      <c r="I159" s="57" t="inlineStr"/>
      <c r="J159" s="57" t="inlineStr"/>
      <c r="K159" s="57" t="inlineStr"/>
      <c r="L159" s="57" t="inlineStr"/>
      <c r="M159" s="57" t="inlineStr"/>
      <c r="N159" s="57" t="inlineStr"/>
      <c r="O159" s="57" t="inlineStr"/>
      <c r="P159" s="57">
        <f>COUNT(H159:O159)</f>
        <v/>
      </c>
      <c r="Q159" s="60">
        <f>IF(P159=0,"",COUNTIF(H159:O159,"&gt;=4")/P159)</f>
        <v/>
      </c>
      <c r="R159" s="60">
        <f>IF(P159=0,"",COUNTIF(H159:O159,"&lt;=2")/P159)</f>
        <v/>
      </c>
      <c r="S159" s="57">
        <f>IF(P159=0,"",MEDIAN(H159:O159))</f>
        <v/>
      </c>
      <c r="T159" s="57">
        <f>IF(G159&lt;&gt;"Round 2",G159,IF(P159=0,"Awaiting Round 2",IF(Q159&gt;=0.8,"Include",IF(R159&gt;=0.8,"Exclude","No consensus"))))</f>
        <v/>
      </c>
      <c r="U159" s="57" t="inlineStr"/>
    </row>
    <row r="160">
      <c r="A160" s="57" t="inlineStr">
        <is>
          <t>PTA of dialysis access</t>
        </is>
      </c>
      <c r="B160" s="57" t="inlineStr">
        <is>
          <t>Dissection, rupture/extravasation, thrombosis, distal embolisation or worsening steal/hand ischaemia</t>
        </is>
      </c>
      <c r="C160" s="57" t="inlineStr">
        <is>
          <t>Core candidate</t>
        </is>
      </c>
      <c r="D160" s="60">
        <f>'Delphi Round 1'!O160</f>
        <v/>
      </c>
      <c r="E160" s="60">
        <f>'Delphi Round 1'!P160</f>
        <v/>
      </c>
      <c r="F160" s="57">
        <f>'Delphi Round 1'!Q160</f>
        <v/>
      </c>
      <c r="G160" s="57">
        <f>'Delphi Round 1'!R160</f>
        <v/>
      </c>
      <c r="H160" s="57" t="inlineStr"/>
      <c r="I160" s="57" t="inlineStr"/>
      <c r="J160" s="57" t="inlineStr"/>
      <c r="K160" s="57" t="inlineStr"/>
      <c r="L160" s="57" t="inlineStr"/>
      <c r="M160" s="57" t="inlineStr"/>
      <c r="N160" s="57" t="inlineStr"/>
      <c r="O160" s="57" t="inlineStr"/>
      <c r="P160" s="57">
        <f>COUNT(H160:O160)</f>
        <v/>
      </c>
      <c r="Q160" s="60">
        <f>IF(P160=0,"",COUNTIF(H160:O160,"&gt;=4")/P160)</f>
        <v/>
      </c>
      <c r="R160" s="60">
        <f>IF(P160=0,"",COUNTIF(H160:O160,"&lt;=2")/P160)</f>
        <v/>
      </c>
      <c r="S160" s="57">
        <f>IF(P160=0,"",MEDIAN(H160:O160))</f>
        <v/>
      </c>
      <c r="T160" s="57">
        <f>IF(G160&lt;&gt;"Round 2",G160,IF(P160=0,"Awaiting Round 2",IF(Q160&gt;=0.8,"Include",IF(R160&gt;=0.8,"Exclude","No consensus"))))</f>
        <v/>
      </c>
      <c r="U160" s="57" t="inlineStr"/>
    </row>
    <row r="161">
      <c r="A161" s="57" t="inlineStr">
        <is>
          <t>PTA of dialysis access</t>
        </is>
      </c>
      <c r="B161" s="57" t="inlineStr">
        <is>
          <t>Acute access loss</t>
        </is>
      </c>
      <c r="C161" s="57" t="inlineStr">
        <is>
          <t>Core candidate</t>
        </is>
      </c>
      <c r="D161" s="60">
        <f>'Delphi Round 1'!O161</f>
        <v/>
      </c>
      <c r="E161" s="60">
        <f>'Delphi Round 1'!P161</f>
        <v/>
      </c>
      <c r="F161" s="57">
        <f>'Delphi Round 1'!Q161</f>
        <v/>
      </c>
      <c r="G161" s="57">
        <f>'Delphi Round 1'!R161</f>
        <v/>
      </c>
      <c r="H161" s="57" t="inlineStr"/>
      <c r="I161" s="57" t="inlineStr"/>
      <c r="J161" s="57" t="inlineStr"/>
      <c r="K161" s="57" t="inlineStr"/>
      <c r="L161" s="57" t="inlineStr"/>
      <c r="M161" s="57" t="inlineStr"/>
      <c r="N161" s="57" t="inlineStr"/>
      <c r="O161" s="57" t="inlineStr"/>
      <c r="P161" s="57">
        <f>COUNT(H161:O161)</f>
        <v/>
      </c>
      <c r="Q161" s="60">
        <f>IF(P161=0,"",COUNTIF(H161:O161,"&gt;=4")/P161)</f>
        <v/>
      </c>
      <c r="R161" s="60">
        <f>IF(P161=0,"",COUNTIF(H161:O161,"&lt;=2")/P161)</f>
        <v/>
      </c>
      <c r="S161" s="57">
        <f>IF(P161=0,"",MEDIAN(H161:O161))</f>
        <v/>
      </c>
      <c r="T161" s="57">
        <f>IF(G161&lt;&gt;"Round 2",G161,IF(P161=0,"Awaiting Round 2",IF(Q161&gt;=0.8,"Include",IF(R161&gt;=0.8,"Exclude","No consensus"))))</f>
        <v/>
      </c>
      <c r="U161" s="57" t="inlineStr"/>
    </row>
    <row r="162">
      <c r="A162" s="57" t="inlineStr">
        <is>
          <t>PTA of dialysis access</t>
        </is>
      </c>
      <c r="B162" s="57" t="inlineStr">
        <is>
          <t>repeat procedure or surgery</t>
        </is>
      </c>
      <c r="C162" s="57" t="inlineStr">
        <is>
          <t>Core candidate</t>
        </is>
      </c>
      <c r="D162" s="60">
        <f>'Delphi Round 1'!O162</f>
        <v/>
      </c>
      <c r="E162" s="60">
        <f>'Delphi Round 1'!P162</f>
        <v/>
      </c>
      <c r="F162" s="57">
        <f>'Delphi Round 1'!Q162</f>
        <v/>
      </c>
      <c r="G162" s="57">
        <f>'Delphi Round 1'!R162</f>
        <v/>
      </c>
      <c r="H162" s="57" t="inlineStr"/>
      <c r="I162" s="57" t="inlineStr"/>
      <c r="J162" s="57" t="inlineStr"/>
      <c r="K162" s="57" t="inlineStr"/>
      <c r="L162" s="57" t="inlineStr"/>
      <c r="M162" s="57" t="inlineStr"/>
      <c r="N162" s="57" t="inlineStr"/>
      <c r="O162" s="57" t="inlineStr"/>
      <c r="P162" s="57">
        <f>COUNT(H162:O162)</f>
        <v/>
      </c>
      <c r="Q162" s="60">
        <f>IF(P162=0,"",COUNTIF(H162:O162,"&gt;=4")/P162)</f>
        <v/>
      </c>
      <c r="R162" s="60">
        <f>IF(P162=0,"",COUNTIF(H162:O162,"&lt;=2")/P162)</f>
        <v/>
      </c>
      <c r="S162" s="57">
        <f>IF(P162=0,"",MEDIAN(H162:O162))</f>
        <v/>
      </c>
      <c r="T162" s="57">
        <f>IF(G162&lt;&gt;"Round 2",G162,IF(P162=0,"Awaiting Round 2",IF(Q162&gt;=0.8,"Include",IF(R162&gt;=0.8,"Exclude","No consensus"))))</f>
        <v/>
      </c>
      <c r="U162" s="57" t="inlineStr"/>
    </row>
    <row r="163">
      <c r="A163" s="57" t="inlineStr">
        <is>
          <t>PTA of dialysis access</t>
        </is>
      </c>
      <c r="B163" s="57" t="inlineStr">
        <is>
          <t>Access puncture bleeding/haematoma</t>
        </is>
      </c>
      <c r="C163" s="57" t="inlineStr">
        <is>
          <t>Core candidate</t>
        </is>
      </c>
      <c r="D163" s="60">
        <f>'Delphi Round 1'!O163</f>
        <v/>
      </c>
      <c r="E163" s="60">
        <f>'Delphi Round 1'!P163</f>
        <v/>
      </c>
      <c r="F163" s="57">
        <f>'Delphi Round 1'!Q163</f>
        <v/>
      </c>
      <c r="G163" s="57">
        <f>'Delphi Round 1'!R163</f>
        <v/>
      </c>
      <c r="H163" s="57" t="inlineStr"/>
      <c r="I163" s="57" t="inlineStr"/>
      <c r="J163" s="57" t="inlineStr"/>
      <c r="K163" s="57" t="inlineStr"/>
      <c r="L163" s="57" t="inlineStr"/>
      <c r="M163" s="57" t="inlineStr"/>
      <c r="N163" s="57" t="inlineStr"/>
      <c r="O163" s="57" t="inlineStr"/>
      <c r="P163" s="57">
        <f>COUNT(H163:O163)</f>
        <v/>
      </c>
      <c r="Q163" s="60">
        <f>IF(P163=0,"",COUNTIF(H163:O163,"&gt;=4")/P163)</f>
        <v/>
      </c>
      <c r="R163" s="60">
        <f>IF(P163=0,"",COUNTIF(H163:O163,"&lt;=2")/P163)</f>
        <v/>
      </c>
      <c r="S163" s="57">
        <f>IF(P163=0,"",MEDIAN(H163:O163))</f>
        <v/>
      </c>
      <c r="T163" s="57">
        <f>IF(G163&lt;&gt;"Round 2",G163,IF(P163=0,"Awaiting Round 2",IF(Q163&gt;=0.8,"Include",IF(R163&gt;=0.8,"Exclude","No consensus"))))</f>
        <v/>
      </c>
      <c r="U163" s="57" t="inlineStr"/>
    </row>
    <row r="164">
      <c r="A164" s="57" t="inlineStr">
        <is>
          <t>PTA of dialysis access</t>
        </is>
      </c>
      <c r="B164" s="57" t="inlineStr">
        <is>
          <t>access rupture</t>
        </is>
      </c>
      <c r="C164" s="57" t="inlineStr">
        <is>
          <t>Core candidate</t>
        </is>
      </c>
      <c r="D164" s="60">
        <f>'Delphi Round 1'!O164</f>
        <v/>
      </c>
      <c r="E164" s="60">
        <f>'Delphi Round 1'!P164</f>
        <v/>
      </c>
      <c r="F164" s="57">
        <f>'Delphi Round 1'!Q164</f>
        <v/>
      </c>
      <c r="G164" s="57">
        <f>'Delphi Round 1'!R164</f>
        <v/>
      </c>
      <c r="H164" s="57" t="inlineStr"/>
      <c r="I164" s="57" t="inlineStr"/>
      <c r="J164" s="57" t="inlineStr"/>
      <c r="K164" s="57" t="inlineStr"/>
      <c r="L164" s="57" t="inlineStr"/>
      <c r="M164" s="57" t="inlineStr"/>
      <c r="N164" s="57" t="inlineStr"/>
      <c r="O164" s="57" t="inlineStr"/>
      <c r="P164" s="57">
        <f>COUNT(H164:O164)</f>
        <v/>
      </c>
      <c r="Q164" s="60">
        <f>IF(P164=0,"",COUNTIF(H164:O164,"&gt;=4")/P164)</f>
        <v/>
      </c>
      <c r="R164" s="60">
        <f>IF(P164=0,"",COUNTIF(H164:O164,"&lt;=2")/P164)</f>
        <v/>
      </c>
      <c r="S164" s="57">
        <f>IF(P164=0,"",MEDIAN(H164:O164))</f>
        <v/>
      </c>
      <c r="T164" s="57">
        <f>IF(G164&lt;&gt;"Round 2",G164,IF(P164=0,"Awaiting Round 2",IF(Q164&gt;=0.8,"Include",IF(R164&gt;=0.8,"Exclude","No consensus"))))</f>
        <v/>
      </c>
      <c r="U164" s="57" t="inlineStr"/>
    </row>
    <row r="165">
      <c r="A165" s="57" t="inlineStr">
        <is>
          <t>PTA of dialysis access</t>
        </is>
      </c>
      <c r="B165" s="57" t="inlineStr">
        <is>
          <t>Contrast reaction/AKI as relevant</t>
        </is>
      </c>
      <c r="C165" s="57" t="inlineStr">
        <is>
          <t>Conditional / patient-specific</t>
        </is>
      </c>
      <c r="D165" s="60">
        <f>'Delphi Round 1'!O165</f>
        <v/>
      </c>
      <c r="E165" s="60">
        <f>'Delphi Round 1'!P165</f>
        <v/>
      </c>
      <c r="F165" s="57">
        <f>'Delphi Round 1'!Q165</f>
        <v/>
      </c>
      <c r="G165" s="57">
        <f>'Delphi Round 1'!R165</f>
        <v/>
      </c>
      <c r="H165" s="57" t="inlineStr"/>
      <c r="I165" s="57" t="inlineStr"/>
      <c r="J165" s="57" t="inlineStr"/>
      <c r="K165" s="57" t="inlineStr"/>
      <c r="L165" s="57" t="inlineStr"/>
      <c r="M165" s="57" t="inlineStr"/>
      <c r="N165" s="57" t="inlineStr"/>
      <c r="O165" s="57" t="inlineStr"/>
      <c r="P165" s="57">
        <f>COUNT(H165:O165)</f>
        <v/>
      </c>
      <c r="Q165" s="60">
        <f>IF(P165=0,"",COUNTIF(H165:O165,"&gt;=4")/P165)</f>
        <v/>
      </c>
      <c r="R165" s="60">
        <f>IF(P165=0,"",COUNTIF(H165:O165,"&lt;=2")/P165)</f>
        <v/>
      </c>
      <c r="S165" s="57">
        <f>IF(P165=0,"",MEDIAN(H165:O165))</f>
        <v/>
      </c>
      <c r="T165" s="57">
        <f>IF(G165&lt;&gt;"Round 2",G165,IF(P165=0,"Awaiting Round 2",IF(Q165&gt;=0.8,"Include",IF(R165&gt;=0.8,"Exclude","No consensus"))))</f>
        <v/>
      </c>
      <c r="U165" s="57" t="inlineStr"/>
    </row>
    <row r="166">
      <c r="A166" s="57" t="inlineStr">
        <is>
          <t>PTA of dialysis access</t>
        </is>
      </c>
      <c r="B166" s="57" t="inlineStr">
        <is>
          <t>radiation exposure</t>
        </is>
      </c>
      <c r="C166" s="57" t="inlineStr">
        <is>
          <t>Conditional / patient-specific</t>
        </is>
      </c>
      <c r="D166" s="60">
        <f>'Delphi Round 1'!O166</f>
        <v/>
      </c>
      <c r="E166" s="60">
        <f>'Delphi Round 1'!P166</f>
        <v/>
      </c>
      <c r="F166" s="57">
        <f>'Delphi Round 1'!Q166</f>
        <v/>
      </c>
      <c r="G166" s="57">
        <f>'Delphi Round 1'!R166</f>
        <v/>
      </c>
      <c r="H166" s="57" t="inlineStr"/>
      <c r="I166" s="57" t="inlineStr"/>
      <c r="J166" s="57" t="inlineStr"/>
      <c r="K166" s="57" t="inlineStr"/>
      <c r="L166" s="57" t="inlineStr"/>
      <c r="M166" s="57" t="inlineStr"/>
      <c r="N166" s="57" t="inlineStr"/>
      <c r="O166" s="57" t="inlineStr"/>
      <c r="P166" s="57">
        <f>COUNT(H166:O166)</f>
        <v/>
      </c>
      <c r="Q166" s="60">
        <f>IF(P166=0,"",COUNTIF(H166:O166,"&gt;=4")/P166)</f>
        <v/>
      </c>
      <c r="R166" s="60">
        <f>IF(P166=0,"",COUNTIF(H166:O166,"&lt;=2")/P166)</f>
        <v/>
      </c>
      <c r="S166" s="57">
        <f>IF(P166=0,"",MEDIAN(H166:O166))</f>
        <v/>
      </c>
      <c r="T166" s="57">
        <f>IF(G166&lt;&gt;"Round 2",G166,IF(P166=0,"Awaiting Round 2",IF(Q166&gt;=0.8,"Include",IF(R166&gt;=0.8,"Exclude","No consensus"))))</f>
        <v/>
      </c>
      <c r="U166" s="57" t="inlineStr"/>
    </row>
    <row r="167">
      <c r="A167" s="57" t="inlineStr">
        <is>
          <t>PTA of dialysis access</t>
        </is>
      </c>
      <c r="B167" s="57" t="inlineStr">
        <is>
          <t>Fistula vs graft, lesion site, balloon/stent device and baseline hand perfusion</t>
        </is>
      </c>
      <c r="C167" s="57" t="inlineStr">
        <is>
          <t>Conditional / patient-specific</t>
        </is>
      </c>
      <c r="D167" s="60">
        <f>'Delphi Round 1'!O167</f>
        <v/>
      </c>
      <c r="E167" s="60">
        <f>'Delphi Round 1'!P167</f>
        <v/>
      </c>
      <c r="F167" s="57">
        <f>'Delphi Round 1'!Q167</f>
        <v/>
      </c>
      <c r="G167" s="57">
        <f>'Delphi Round 1'!R167</f>
        <v/>
      </c>
      <c r="H167" s="57" t="inlineStr"/>
      <c r="I167" s="57" t="inlineStr"/>
      <c r="J167" s="57" t="inlineStr"/>
      <c r="K167" s="57" t="inlineStr"/>
      <c r="L167" s="57" t="inlineStr"/>
      <c r="M167" s="57" t="inlineStr"/>
      <c r="N167" s="57" t="inlineStr"/>
      <c r="O167" s="57" t="inlineStr"/>
      <c r="P167" s="57">
        <f>COUNT(H167:O167)</f>
        <v/>
      </c>
      <c r="Q167" s="60">
        <f>IF(P167=0,"",COUNTIF(H167:O167,"&gt;=4")/P167)</f>
        <v/>
      </c>
      <c r="R167" s="60">
        <f>IF(P167=0,"",COUNTIF(H167:O167,"&lt;=2")/P167)</f>
        <v/>
      </c>
      <c r="S167" s="57">
        <f>IF(P167=0,"",MEDIAN(H167:O167))</f>
        <v/>
      </c>
      <c r="T167" s="57">
        <f>IF(G167&lt;&gt;"Round 2",G167,IF(P167=0,"Awaiting Round 2",IF(Q167&gt;=0.8,"Include",IF(R167&gt;=0.8,"Exclude","No consensus"))))</f>
        <v/>
      </c>
      <c r="U167" s="57" t="inlineStr"/>
    </row>
    <row r="168">
      <c r="A168" s="57" t="inlineStr">
        <is>
          <t>Transjugular intrahepatic portosystemic shunt (TIPS)</t>
        </is>
      </c>
      <c r="B168" s="57" t="inlineStr">
        <is>
          <t>Neck discomfort</t>
        </is>
      </c>
      <c r="C168" s="57" t="inlineStr">
        <is>
          <t>Core candidate</t>
        </is>
      </c>
      <c r="D168" s="60">
        <f>'Delphi Round 1'!O168</f>
        <v/>
      </c>
      <c r="E168" s="60">
        <f>'Delphi Round 1'!P168</f>
        <v/>
      </c>
      <c r="F168" s="57">
        <f>'Delphi Round 1'!Q168</f>
        <v/>
      </c>
      <c r="G168" s="57">
        <f>'Delphi Round 1'!R168</f>
        <v/>
      </c>
      <c r="H168" s="57" t="inlineStr"/>
      <c r="I168" s="57" t="inlineStr"/>
      <c r="J168" s="57" t="inlineStr"/>
      <c r="K168" s="57" t="inlineStr"/>
      <c r="L168" s="57" t="inlineStr"/>
      <c r="M168" s="57" t="inlineStr"/>
      <c r="N168" s="57" t="inlineStr"/>
      <c r="O168" s="57" t="inlineStr"/>
      <c r="P168" s="57">
        <f>COUNT(H168:O168)</f>
        <v/>
      </c>
      <c r="Q168" s="60">
        <f>IF(P168=0,"",COUNTIF(H168:O168,"&gt;=4")/P168)</f>
        <v/>
      </c>
      <c r="R168" s="60">
        <f>IF(P168=0,"",COUNTIF(H168:O168,"&lt;=2")/P168)</f>
        <v/>
      </c>
      <c r="S168" s="57">
        <f>IF(P168=0,"",MEDIAN(H168:O168))</f>
        <v/>
      </c>
      <c r="T168" s="57">
        <f>IF(G168&lt;&gt;"Round 2",G168,IF(P168=0,"Awaiting Round 2",IF(Q168&gt;=0.8,"Include",IF(R168&gt;=0.8,"Exclude","No consensus"))))</f>
        <v/>
      </c>
      <c r="U168" s="57" t="inlineStr"/>
    </row>
    <row r="169">
      <c r="A169" s="57" t="inlineStr">
        <is>
          <t>Transjugular intrahepatic portosystemic shunt (TIPS)</t>
        </is>
      </c>
      <c r="B169" s="57" t="inlineStr">
        <is>
          <t>possible breathlessness/volume shift depending on patient</t>
        </is>
      </c>
      <c r="C169" s="57" t="inlineStr">
        <is>
          <t>Core candidate</t>
        </is>
      </c>
      <c r="D169" s="60">
        <f>'Delphi Round 1'!O169</f>
        <v/>
      </c>
      <c r="E169" s="60">
        <f>'Delphi Round 1'!P169</f>
        <v/>
      </c>
      <c r="F169" s="57">
        <f>'Delphi Round 1'!Q169</f>
        <v/>
      </c>
      <c r="G169" s="57">
        <f>'Delphi Round 1'!R169</f>
        <v/>
      </c>
      <c r="H169" s="57" t="inlineStr"/>
      <c r="I169" s="57" t="inlineStr"/>
      <c r="J169" s="57" t="inlineStr"/>
      <c r="K169" s="57" t="inlineStr"/>
      <c r="L169" s="57" t="inlineStr"/>
      <c r="M169" s="57" t="inlineStr"/>
      <c r="N169" s="57" t="inlineStr"/>
      <c r="O169" s="57" t="inlineStr"/>
      <c r="P169" s="57">
        <f>COUNT(H169:O169)</f>
        <v/>
      </c>
      <c r="Q169" s="60">
        <f>IF(P169=0,"",COUNTIF(H169:O169,"&gt;=4")/P169)</f>
        <v/>
      </c>
      <c r="R169" s="60">
        <f>IF(P169=0,"",COUNTIF(H169:O169,"&lt;=2")/P169)</f>
        <v/>
      </c>
      <c r="S169" s="57">
        <f>IF(P169=0,"",MEDIAN(H169:O169))</f>
        <v/>
      </c>
      <c r="T169" s="57">
        <f>IF(G169&lt;&gt;"Round 2",G169,IF(P169=0,"Awaiting Round 2",IF(Q169&gt;=0.8,"Include",IF(R169&gt;=0.8,"Exclude","No consensus"))))</f>
        <v/>
      </c>
      <c r="U169" s="57" t="inlineStr"/>
    </row>
    <row r="170">
      <c r="A170" s="57" t="inlineStr">
        <is>
          <t>Transjugular intrahepatic portosystemic shunt (TIPS)</t>
        </is>
      </c>
      <c r="B170" s="57" t="inlineStr">
        <is>
          <t>New or worsened hepatic encephalopathy</t>
        </is>
      </c>
      <c r="C170" s="57" t="inlineStr">
        <is>
          <t>Core candidate</t>
        </is>
      </c>
      <c r="D170" s="60">
        <f>'Delphi Round 1'!O170</f>
        <v/>
      </c>
      <c r="E170" s="60">
        <f>'Delphi Round 1'!P170</f>
        <v/>
      </c>
      <c r="F170" s="57">
        <f>'Delphi Round 1'!Q170</f>
        <v/>
      </c>
      <c r="G170" s="57">
        <f>'Delphi Round 1'!R170</f>
        <v/>
      </c>
      <c r="H170" s="57" t="inlineStr"/>
      <c r="I170" s="57" t="inlineStr"/>
      <c r="J170" s="57" t="inlineStr"/>
      <c r="K170" s="57" t="inlineStr"/>
      <c r="L170" s="57" t="inlineStr"/>
      <c r="M170" s="57" t="inlineStr"/>
      <c r="N170" s="57" t="inlineStr"/>
      <c r="O170" s="57" t="inlineStr"/>
      <c r="P170" s="57">
        <f>COUNT(H170:O170)</f>
        <v/>
      </c>
      <c r="Q170" s="60">
        <f>IF(P170=0,"",COUNTIF(H170:O170,"&gt;=4")/P170)</f>
        <v/>
      </c>
      <c r="R170" s="60">
        <f>IF(P170=0,"",COUNTIF(H170:O170,"&lt;=2")/P170)</f>
        <v/>
      </c>
      <c r="S170" s="57">
        <f>IF(P170=0,"",MEDIAN(H170:O170))</f>
        <v/>
      </c>
      <c r="T170" s="57">
        <f>IF(G170&lt;&gt;"Round 2",G170,IF(P170=0,"Awaiting Round 2",IF(Q170&gt;=0.8,"Include",IF(R170&gt;=0.8,"Exclude","No consensus"))))</f>
        <v/>
      </c>
      <c r="U170" s="57" t="inlineStr"/>
    </row>
    <row r="171">
      <c r="A171" s="57" t="inlineStr">
        <is>
          <t>Transjugular intrahepatic portosystemic shunt (TIPS)</t>
        </is>
      </c>
      <c r="B171" s="57" t="inlineStr">
        <is>
          <t>shunt dysfunction/stenosis/thrombosis</t>
        </is>
      </c>
      <c r="C171" s="57" t="inlineStr">
        <is>
          <t>Core candidate</t>
        </is>
      </c>
      <c r="D171" s="60">
        <f>'Delphi Round 1'!O171</f>
        <v/>
      </c>
      <c r="E171" s="60">
        <f>'Delphi Round 1'!P171</f>
        <v/>
      </c>
      <c r="F171" s="57">
        <f>'Delphi Round 1'!Q171</f>
        <v/>
      </c>
      <c r="G171" s="57">
        <f>'Delphi Round 1'!R171</f>
        <v/>
      </c>
      <c r="H171" s="57" t="inlineStr"/>
      <c r="I171" s="57" t="inlineStr"/>
      <c r="J171" s="57" t="inlineStr"/>
      <c r="K171" s="57" t="inlineStr"/>
      <c r="L171" s="57" t="inlineStr"/>
      <c r="M171" s="57" t="inlineStr"/>
      <c r="N171" s="57" t="inlineStr"/>
      <c r="O171" s="57" t="inlineStr"/>
      <c r="P171" s="57">
        <f>COUNT(H171:O171)</f>
        <v/>
      </c>
      <c r="Q171" s="60">
        <f>IF(P171=0,"",COUNTIF(H171:O171,"&gt;=4")/P171)</f>
        <v/>
      </c>
      <c r="R171" s="60">
        <f>IF(P171=0,"",COUNTIF(H171:O171,"&lt;=2")/P171)</f>
        <v/>
      </c>
      <c r="S171" s="57">
        <f>IF(P171=0,"",MEDIAN(H171:O171))</f>
        <v/>
      </c>
      <c r="T171" s="57">
        <f>IF(G171&lt;&gt;"Round 2",G171,IF(P171=0,"Awaiting Round 2",IF(Q171&gt;=0.8,"Include",IF(R171&gt;=0.8,"Exclude","No consensus"))))</f>
        <v/>
      </c>
      <c r="U171" s="57" t="inlineStr"/>
    </row>
    <row r="172">
      <c r="A172" s="57" t="inlineStr">
        <is>
          <t>Transjugular intrahepatic portosystemic shunt (TIPS)</t>
        </is>
      </c>
      <c r="B172" s="57" t="inlineStr">
        <is>
          <t>hepatic decompensation</t>
        </is>
      </c>
      <c r="C172" s="57" t="inlineStr">
        <is>
          <t>Core candidate</t>
        </is>
      </c>
      <c r="D172" s="60">
        <f>'Delphi Round 1'!O172</f>
        <v/>
      </c>
      <c r="E172" s="60">
        <f>'Delphi Round 1'!P172</f>
        <v/>
      </c>
      <c r="F172" s="57">
        <f>'Delphi Round 1'!Q172</f>
        <v/>
      </c>
      <c r="G172" s="57">
        <f>'Delphi Round 1'!R172</f>
        <v/>
      </c>
      <c r="H172" s="57" t="inlineStr"/>
      <c r="I172" s="57" t="inlineStr"/>
      <c r="J172" s="57" t="inlineStr"/>
      <c r="K172" s="57" t="inlineStr"/>
      <c r="L172" s="57" t="inlineStr"/>
      <c r="M172" s="57" t="inlineStr"/>
      <c r="N172" s="57" t="inlineStr"/>
      <c r="O172" s="57" t="inlineStr"/>
      <c r="P172" s="57">
        <f>COUNT(H172:O172)</f>
        <v/>
      </c>
      <c r="Q172" s="60">
        <f>IF(P172=0,"",COUNTIF(H172:O172,"&gt;=4")/P172)</f>
        <v/>
      </c>
      <c r="R172" s="60">
        <f>IF(P172=0,"",COUNTIF(H172:O172,"&lt;=2")/P172)</f>
        <v/>
      </c>
      <c r="S172" s="57">
        <f>IF(P172=0,"",MEDIAN(H172:O172))</f>
        <v/>
      </c>
      <c r="T172" s="57">
        <f>IF(G172&lt;&gt;"Round 2",G172,IF(P172=0,"Awaiting Round 2",IF(Q172&gt;=0.8,"Include",IF(R172&gt;=0.8,"Exclude","No consensus"))))</f>
        <v/>
      </c>
      <c r="U172" s="57" t="inlineStr"/>
    </row>
    <row r="173">
      <c r="A173" s="57" t="inlineStr">
        <is>
          <t>Transjugular intrahepatic portosystemic shunt (TIPS)</t>
        </is>
      </c>
      <c r="B173" s="57" t="inlineStr">
        <is>
          <t>Capsular puncture/intra-abdominal haemorrhage, biliary/portal injury, cardiac failure/volume overload, liver failure or death</t>
        </is>
      </c>
      <c r="C173" s="57" t="inlineStr">
        <is>
          <t>Core candidate</t>
        </is>
      </c>
      <c r="D173" s="60">
        <f>'Delphi Round 1'!O173</f>
        <v/>
      </c>
      <c r="E173" s="60">
        <f>'Delphi Round 1'!P173</f>
        <v/>
      </c>
      <c r="F173" s="57">
        <f>'Delphi Round 1'!Q173</f>
        <v/>
      </c>
      <c r="G173" s="57">
        <f>'Delphi Round 1'!R173</f>
        <v/>
      </c>
      <c r="H173" s="57" t="inlineStr"/>
      <c r="I173" s="57" t="inlineStr"/>
      <c r="J173" s="57" t="inlineStr"/>
      <c r="K173" s="57" t="inlineStr"/>
      <c r="L173" s="57" t="inlineStr"/>
      <c r="M173" s="57" t="inlineStr"/>
      <c r="N173" s="57" t="inlineStr"/>
      <c r="O173" s="57" t="inlineStr"/>
      <c r="P173" s="57">
        <f>COUNT(H173:O173)</f>
        <v/>
      </c>
      <c r="Q173" s="60">
        <f>IF(P173=0,"",COUNTIF(H173:O173,"&gt;=4")/P173)</f>
        <v/>
      </c>
      <c r="R173" s="60">
        <f>IF(P173=0,"",COUNTIF(H173:O173,"&lt;=2")/P173)</f>
        <v/>
      </c>
      <c r="S173" s="57">
        <f>IF(P173=0,"",MEDIAN(H173:O173))</f>
        <v/>
      </c>
      <c r="T173" s="57">
        <f>IF(G173&lt;&gt;"Round 2",G173,IF(P173=0,"Awaiting Round 2",IF(Q173&gt;=0.8,"Include",IF(R173&gt;=0.8,"Exclude","No consensus"))))</f>
        <v/>
      </c>
      <c r="U173" s="57" t="inlineStr"/>
    </row>
    <row r="174">
      <c r="A174" s="57" t="inlineStr">
        <is>
          <t>Transjugular intrahepatic portosystemic shunt (TIPS)</t>
        </is>
      </c>
      <c r="B174" s="57" t="inlineStr">
        <is>
          <t>Neck puncture bleeding/haematoma</t>
        </is>
      </c>
      <c r="C174" s="57" t="inlineStr">
        <is>
          <t>Core candidate</t>
        </is>
      </c>
      <c r="D174" s="60">
        <f>'Delphi Round 1'!O174</f>
        <v/>
      </c>
      <c r="E174" s="60">
        <f>'Delphi Round 1'!P174</f>
        <v/>
      </c>
      <c r="F174" s="57">
        <f>'Delphi Round 1'!Q174</f>
        <v/>
      </c>
      <c r="G174" s="57">
        <f>'Delphi Round 1'!R174</f>
        <v/>
      </c>
      <c r="H174" s="57" t="inlineStr"/>
      <c r="I174" s="57" t="inlineStr"/>
      <c r="J174" s="57" t="inlineStr"/>
      <c r="K174" s="57" t="inlineStr"/>
      <c r="L174" s="57" t="inlineStr"/>
      <c r="M174" s="57" t="inlineStr"/>
      <c r="N174" s="57" t="inlineStr"/>
      <c r="O174" s="57" t="inlineStr"/>
      <c r="P174" s="57">
        <f>COUNT(H174:O174)</f>
        <v/>
      </c>
      <c r="Q174" s="60">
        <f>IF(P174=0,"",COUNTIF(H174:O174,"&gt;=4")/P174)</f>
        <v/>
      </c>
      <c r="R174" s="60">
        <f>IF(P174=0,"",COUNTIF(H174:O174,"&lt;=2")/P174)</f>
        <v/>
      </c>
      <c r="S174" s="57">
        <f>IF(P174=0,"",MEDIAN(H174:O174))</f>
        <v/>
      </c>
      <c r="T174" s="57">
        <f>IF(G174&lt;&gt;"Round 2",G174,IF(P174=0,"Awaiting Round 2",IF(Q174&gt;=0.8,"Include",IF(R174&gt;=0.8,"Exclude","No consensus"))))</f>
        <v/>
      </c>
      <c r="U174" s="57" t="inlineStr"/>
    </row>
    <row r="175">
      <c r="A175" s="57" t="inlineStr">
        <is>
          <t>Transjugular intrahepatic portosystemic shunt (TIPS)</t>
        </is>
      </c>
      <c r="B175" s="57" t="inlineStr">
        <is>
          <t>inadvertent arterial puncture</t>
        </is>
      </c>
      <c r="C175" s="57" t="inlineStr">
        <is>
          <t>Core candidate</t>
        </is>
      </c>
      <c r="D175" s="60">
        <f>'Delphi Round 1'!O175</f>
        <v/>
      </c>
      <c r="E175" s="60">
        <f>'Delphi Round 1'!P175</f>
        <v/>
      </c>
      <c r="F175" s="57">
        <f>'Delphi Round 1'!Q175</f>
        <v/>
      </c>
      <c r="G175" s="57">
        <f>'Delphi Round 1'!R175</f>
        <v/>
      </c>
      <c r="H175" s="57" t="inlineStr"/>
      <c r="I175" s="57" t="inlineStr"/>
      <c r="J175" s="57" t="inlineStr"/>
      <c r="K175" s="57" t="inlineStr"/>
      <c r="L175" s="57" t="inlineStr"/>
      <c r="M175" s="57" t="inlineStr"/>
      <c r="N175" s="57" t="inlineStr"/>
      <c r="O175" s="57" t="inlineStr"/>
      <c r="P175" s="57">
        <f>COUNT(H175:O175)</f>
        <v/>
      </c>
      <c r="Q175" s="60">
        <f>IF(P175=0,"",COUNTIF(H175:O175,"&gt;=4")/P175)</f>
        <v/>
      </c>
      <c r="R175" s="60">
        <f>IF(P175=0,"",COUNTIF(H175:O175,"&lt;=2")/P175)</f>
        <v/>
      </c>
      <c r="S175" s="57">
        <f>IF(P175=0,"",MEDIAN(H175:O175))</f>
        <v/>
      </c>
      <c r="T175" s="57">
        <f>IF(G175&lt;&gt;"Round 2",G175,IF(P175=0,"Awaiting Round 2",IF(Q175&gt;=0.8,"Include",IF(R175&gt;=0.8,"Exclude","No consensus"))))</f>
        <v/>
      </c>
      <c r="U175" s="57" t="inlineStr"/>
    </row>
    <row r="176">
      <c r="A176" s="57" t="inlineStr">
        <is>
          <t>Transjugular intrahepatic portosystemic shunt (TIPS)</t>
        </is>
      </c>
      <c r="B176" s="57" t="inlineStr">
        <is>
          <t>Contrast reaction/AKI</t>
        </is>
      </c>
      <c r="C176" s="57" t="inlineStr">
        <is>
          <t>Conditional / patient-specific</t>
        </is>
      </c>
      <c r="D176" s="60">
        <f>'Delphi Round 1'!O176</f>
        <v/>
      </c>
      <c r="E176" s="60">
        <f>'Delphi Round 1'!P176</f>
        <v/>
      </c>
      <c r="F176" s="57">
        <f>'Delphi Round 1'!Q176</f>
        <v/>
      </c>
      <c r="G176" s="57">
        <f>'Delphi Round 1'!R176</f>
        <v/>
      </c>
      <c r="H176" s="57" t="inlineStr"/>
      <c r="I176" s="57" t="inlineStr"/>
      <c r="J176" s="57" t="inlineStr"/>
      <c r="K176" s="57" t="inlineStr"/>
      <c r="L176" s="57" t="inlineStr"/>
      <c r="M176" s="57" t="inlineStr"/>
      <c r="N176" s="57" t="inlineStr"/>
      <c r="O176" s="57" t="inlineStr"/>
      <c r="P176" s="57">
        <f>COUNT(H176:O176)</f>
        <v/>
      </c>
      <c r="Q176" s="60">
        <f>IF(P176=0,"",COUNTIF(H176:O176,"&gt;=4")/P176)</f>
        <v/>
      </c>
      <c r="R176" s="60">
        <f>IF(P176=0,"",COUNTIF(H176:O176,"&lt;=2")/P176)</f>
        <v/>
      </c>
      <c r="S176" s="57">
        <f>IF(P176=0,"",MEDIAN(H176:O176))</f>
        <v/>
      </c>
      <c r="T176" s="57">
        <f>IF(G176&lt;&gt;"Round 2",G176,IF(P176=0,"Awaiting Round 2",IF(Q176&gt;=0.8,"Include",IF(R176&gt;=0.8,"Exclude","No consensus"))))</f>
        <v/>
      </c>
      <c r="U176" s="57" t="inlineStr"/>
    </row>
    <row r="177">
      <c r="A177" s="57" t="inlineStr">
        <is>
          <t>Transjugular intrahepatic portosystemic shunt (TIPS)</t>
        </is>
      </c>
      <c r="B177" s="57" t="inlineStr">
        <is>
          <t>radiation</t>
        </is>
      </c>
      <c r="C177" s="57" t="inlineStr">
        <is>
          <t>Conditional / patient-specific</t>
        </is>
      </c>
      <c r="D177" s="60">
        <f>'Delphi Round 1'!O177</f>
        <v/>
      </c>
      <c r="E177" s="60">
        <f>'Delphi Round 1'!P177</f>
        <v/>
      </c>
      <c r="F177" s="57">
        <f>'Delphi Round 1'!Q177</f>
        <v/>
      </c>
      <c r="G177" s="57">
        <f>'Delphi Round 1'!R177</f>
        <v/>
      </c>
      <c r="H177" s="57" t="inlineStr"/>
      <c r="I177" s="57" t="inlineStr"/>
      <c r="J177" s="57" t="inlineStr"/>
      <c r="K177" s="57" t="inlineStr"/>
      <c r="L177" s="57" t="inlineStr"/>
      <c r="M177" s="57" t="inlineStr"/>
      <c r="N177" s="57" t="inlineStr"/>
      <c r="O177" s="57" t="inlineStr"/>
      <c r="P177" s="57">
        <f>COUNT(H177:O177)</f>
        <v/>
      </c>
      <c r="Q177" s="60">
        <f>IF(P177=0,"",COUNTIF(H177:O177,"&gt;=4")/P177)</f>
        <v/>
      </c>
      <c r="R177" s="60">
        <f>IF(P177=0,"",COUNTIF(H177:O177,"&lt;=2")/P177)</f>
        <v/>
      </c>
      <c r="S177" s="57">
        <f>IF(P177=0,"",MEDIAN(H177:O177))</f>
        <v/>
      </c>
      <c r="T177" s="57">
        <f>IF(G177&lt;&gt;"Round 2",G177,IF(P177=0,"Awaiting Round 2",IF(Q177&gt;=0.8,"Include",IF(R177&gt;=0.8,"Exclude","No consensus"))))</f>
        <v/>
      </c>
      <c r="U177" s="57" t="inlineStr"/>
    </row>
    <row r="178">
      <c r="A178" s="57" t="inlineStr">
        <is>
          <t>Transjugular intrahepatic portosystemic shunt (TIPS)</t>
        </is>
      </c>
      <c r="B178" s="57" t="inlineStr">
        <is>
          <t>anaesthetic risk if GA used</t>
        </is>
      </c>
      <c r="C178" s="57" t="inlineStr">
        <is>
          <t>Conditional / patient-specific</t>
        </is>
      </c>
      <c r="D178" s="60">
        <f>'Delphi Round 1'!O178</f>
        <v/>
      </c>
      <c r="E178" s="60">
        <f>'Delphi Round 1'!P178</f>
        <v/>
      </c>
      <c r="F178" s="57">
        <f>'Delphi Round 1'!Q178</f>
        <v/>
      </c>
      <c r="G178" s="57">
        <f>'Delphi Round 1'!R178</f>
        <v/>
      </c>
      <c r="H178" s="57" t="inlineStr"/>
      <c r="I178" s="57" t="inlineStr"/>
      <c r="J178" s="57" t="inlineStr"/>
      <c r="K178" s="57" t="inlineStr"/>
      <c r="L178" s="57" t="inlineStr"/>
      <c r="M178" s="57" t="inlineStr"/>
      <c r="N178" s="57" t="inlineStr"/>
      <c r="O178" s="57" t="inlineStr"/>
      <c r="P178" s="57">
        <f>COUNT(H178:O178)</f>
        <v/>
      </c>
      <c r="Q178" s="60">
        <f>IF(P178=0,"",COUNTIF(H178:O178,"&gt;=4")/P178)</f>
        <v/>
      </c>
      <c r="R178" s="60">
        <f>IF(P178=0,"",COUNTIF(H178:O178,"&lt;=2")/P178)</f>
        <v/>
      </c>
      <c r="S178" s="57">
        <f>IF(P178=0,"",MEDIAN(H178:O178))</f>
        <v/>
      </c>
      <c r="T178" s="57">
        <f>IF(G178&lt;&gt;"Round 2",G178,IF(P178=0,"Awaiting Round 2",IF(Q178&gt;=0.8,"Include",IF(R178&gt;=0.8,"Exclude","No consensus"))))</f>
        <v/>
      </c>
      <c r="U178" s="57" t="inlineStr"/>
    </row>
    <row r="179">
      <c r="A179" s="57" t="inlineStr">
        <is>
          <t>Transjugular intrahepatic portosystemic shunt (TIPS)</t>
        </is>
      </c>
      <c r="B179" s="57" t="inlineStr">
        <is>
          <t>Baseline liver reserve, cardiac reserve, indication, encephalopathy history and shunt size</t>
        </is>
      </c>
      <c r="C179" s="57" t="inlineStr">
        <is>
          <t>Conditional / patient-specific</t>
        </is>
      </c>
      <c r="D179" s="60">
        <f>'Delphi Round 1'!O179</f>
        <v/>
      </c>
      <c r="E179" s="60">
        <f>'Delphi Round 1'!P179</f>
        <v/>
      </c>
      <c r="F179" s="57">
        <f>'Delphi Round 1'!Q179</f>
        <v/>
      </c>
      <c r="G179" s="57">
        <f>'Delphi Round 1'!R179</f>
        <v/>
      </c>
      <c r="H179" s="57" t="inlineStr"/>
      <c r="I179" s="57" t="inlineStr"/>
      <c r="J179" s="57" t="inlineStr"/>
      <c r="K179" s="57" t="inlineStr"/>
      <c r="L179" s="57" t="inlineStr"/>
      <c r="M179" s="57" t="inlineStr"/>
      <c r="N179" s="57" t="inlineStr"/>
      <c r="O179" s="57" t="inlineStr"/>
      <c r="P179" s="57">
        <f>COUNT(H179:O179)</f>
        <v/>
      </c>
      <c r="Q179" s="60">
        <f>IF(P179=0,"",COUNTIF(H179:O179,"&gt;=4")/P179)</f>
        <v/>
      </c>
      <c r="R179" s="60">
        <f>IF(P179=0,"",COUNTIF(H179:O179,"&lt;=2")/P179)</f>
        <v/>
      </c>
      <c r="S179" s="57">
        <f>IF(P179=0,"",MEDIAN(H179:O179))</f>
        <v/>
      </c>
      <c r="T179" s="57">
        <f>IF(G179&lt;&gt;"Round 2",G179,IF(P179=0,"Awaiting Round 2",IF(Q179&gt;=0.8,"Include",IF(R179&gt;=0.8,"Exclude","No consensus"))))</f>
        <v/>
      </c>
      <c r="U179" s="57" t="inlineStr"/>
    </row>
    <row r="180">
      <c r="A180" s="57" t="inlineStr">
        <is>
          <t>Tunneled dialysis catheter insertion</t>
        </is>
      </c>
      <c r="B180" s="57" t="inlineStr">
        <is>
          <t>Catheter malfunction/malposition</t>
        </is>
      </c>
      <c r="C180" s="57" t="inlineStr">
        <is>
          <t>Core candidate</t>
        </is>
      </c>
      <c r="D180" s="60">
        <f>'Delphi Round 1'!O180</f>
        <v/>
      </c>
      <c r="E180" s="60">
        <f>'Delphi Round 1'!P180</f>
        <v/>
      </c>
      <c r="F180" s="57">
        <f>'Delphi Round 1'!Q180</f>
        <v/>
      </c>
      <c r="G180" s="57">
        <f>'Delphi Round 1'!R180</f>
        <v/>
      </c>
      <c r="H180" s="57" t="inlineStr"/>
      <c r="I180" s="57" t="inlineStr"/>
      <c r="J180" s="57" t="inlineStr"/>
      <c r="K180" s="57" t="inlineStr"/>
      <c r="L180" s="57" t="inlineStr"/>
      <c r="M180" s="57" t="inlineStr"/>
      <c r="N180" s="57" t="inlineStr"/>
      <c r="O180" s="57" t="inlineStr"/>
      <c r="P180" s="57">
        <f>COUNT(H180:O180)</f>
        <v/>
      </c>
      <c r="Q180" s="60">
        <f>IF(P180=0,"",COUNTIF(H180:O180,"&gt;=4")/P180)</f>
        <v/>
      </c>
      <c r="R180" s="60">
        <f>IF(P180=0,"",COUNTIF(H180:O180,"&lt;=2")/P180)</f>
        <v/>
      </c>
      <c r="S180" s="57">
        <f>IF(P180=0,"",MEDIAN(H180:O180))</f>
        <v/>
      </c>
      <c r="T180" s="57">
        <f>IF(G180&lt;&gt;"Round 2",G180,IF(P180=0,"Awaiting Round 2",IF(Q180&gt;=0.8,"Include",IF(R180&gt;=0.8,"Exclude","No consensus"))))</f>
        <v/>
      </c>
      <c r="U180" s="57" t="inlineStr"/>
    </row>
    <row r="181">
      <c r="A181" s="57" t="inlineStr">
        <is>
          <t>Tunneled dialysis catheter insertion</t>
        </is>
      </c>
      <c r="B181" s="57" t="inlineStr">
        <is>
          <t>local pain</t>
        </is>
      </c>
      <c r="C181" s="57" t="inlineStr">
        <is>
          <t>Core candidate</t>
        </is>
      </c>
      <c r="D181" s="60">
        <f>'Delphi Round 1'!O181</f>
        <v/>
      </c>
      <c r="E181" s="60">
        <f>'Delphi Round 1'!P181</f>
        <v/>
      </c>
      <c r="F181" s="57">
        <f>'Delphi Round 1'!Q181</f>
        <v/>
      </c>
      <c r="G181" s="57">
        <f>'Delphi Round 1'!R181</f>
        <v/>
      </c>
      <c r="H181" s="57" t="inlineStr"/>
      <c r="I181" s="57" t="inlineStr"/>
      <c r="J181" s="57" t="inlineStr"/>
      <c r="K181" s="57" t="inlineStr"/>
      <c r="L181" s="57" t="inlineStr"/>
      <c r="M181" s="57" t="inlineStr"/>
      <c r="N181" s="57" t="inlineStr"/>
      <c r="O181" s="57" t="inlineStr"/>
      <c r="P181" s="57">
        <f>COUNT(H181:O181)</f>
        <v/>
      </c>
      <c r="Q181" s="60">
        <f>IF(P181=0,"",COUNTIF(H181:O181,"&gt;=4")/P181)</f>
        <v/>
      </c>
      <c r="R181" s="60">
        <f>IF(P181=0,"",COUNTIF(H181:O181,"&lt;=2")/P181)</f>
        <v/>
      </c>
      <c r="S181" s="57">
        <f>IF(P181=0,"",MEDIAN(H181:O181))</f>
        <v/>
      </c>
      <c r="T181" s="57">
        <f>IF(G181&lt;&gt;"Round 2",G181,IF(P181=0,"Awaiting Round 2",IF(Q181&gt;=0.8,"Include",IF(R181&gt;=0.8,"Exclude","No consensus"))))</f>
        <v/>
      </c>
      <c r="U181" s="57" t="inlineStr"/>
    </row>
    <row r="182">
      <c r="A182" s="57" t="inlineStr">
        <is>
          <t>Tunneled dialysis catheter insertion</t>
        </is>
      </c>
      <c r="B182" s="57" t="inlineStr">
        <is>
          <t>Arterial puncture, bleeding/haematoma, arrhythmia, pneumothorax/haemothorax (site-dependent), infection, venous thrombosis/stenosis</t>
        </is>
      </c>
      <c r="C182" s="57" t="inlineStr">
        <is>
          <t>Core candidate</t>
        </is>
      </c>
      <c r="D182" s="60">
        <f>'Delphi Round 1'!O182</f>
        <v/>
      </c>
      <c r="E182" s="60">
        <f>'Delphi Round 1'!P182</f>
        <v/>
      </c>
      <c r="F182" s="57">
        <f>'Delphi Round 1'!Q182</f>
        <v/>
      </c>
      <c r="G182" s="57">
        <f>'Delphi Round 1'!R182</f>
        <v/>
      </c>
      <c r="H182" s="57" t="inlineStr"/>
      <c r="I182" s="57" t="inlineStr"/>
      <c r="J182" s="57" t="inlineStr"/>
      <c r="K182" s="57" t="inlineStr"/>
      <c r="L182" s="57" t="inlineStr"/>
      <c r="M182" s="57" t="inlineStr"/>
      <c r="N182" s="57" t="inlineStr"/>
      <c r="O182" s="57" t="inlineStr"/>
      <c r="P182" s="57">
        <f>COUNT(H182:O182)</f>
        <v/>
      </c>
      <c r="Q182" s="60">
        <f>IF(P182=0,"",COUNTIF(H182:O182,"&gt;=4")/P182)</f>
        <v/>
      </c>
      <c r="R182" s="60">
        <f>IF(P182=0,"",COUNTIF(H182:O182,"&lt;=2")/P182)</f>
        <v/>
      </c>
      <c r="S182" s="57">
        <f>IF(P182=0,"",MEDIAN(H182:O182))</f>
        <v/>
      </c>
      <c r="T182" s="57">
        <f>IF(G182&lt;&gt;"Round 2",G182,IF(P182=0,"Awaiting Round 2",IF(Q182&gt;=0.8,"Include",IF(R182&gt;=0.8,"Exclude","No consensus"))))</f>
        <v/>
      </c>
      <c r="U182" s="57" t="inlineStr"/>
    </row>
    <row r="183">
      <c r="A183" s="57" t="inlineStr">
        <is>
          <t>Tunneled dialysis catheter insertion</t>
        </is>
      </c>
      <c r="B183" s="57" t="inlineStr">
        <is>
          <t>Air embolism, major vascular injury or severe haemorrhage</t>
        </is>
      </c>
      <c r="C183" s="57" t="inlineStr">
        <is>
          <t>Core candidate</t>
        </is>
      </c>
      <c r="D183" s="60">
        <f>'Delphi Round 1'!O183</f>
        <v/>
      </c>
      <c r="E183" s="60">
        <f>'Delphi Round 1'!P183</f>
        <v/>
      </c>
      <c r="F183" s="57">
        <f>'Delphi Round 1'!Q183</f>
        <v/>
      </c>
      <c r="G183" s="57">
        <f>'Delphi Round 1'!R183</f>
        <v/>
      </c>
      <c r="H183" s="57" t="inlineStr"/>
      <c r="I183" s="57" t="inlineStr"/>
      <c r="J183" s="57" t="inlineStr"/>
      <c r="K183" s="57" t="inlineStr"/>
      <c r="L183" s="57" t="inlineStr"/>
      <c r="M183" s="57" t="inlineStr"/>
      <c r="N183" s="57" t="inlineStr"/>
      <c r="O183" s="57" t="inlineStr"/>
      <c r="P183" s="57">
        <f>COUNT(H183:O183)</f>
        <v/>
      </c>
      <c r="Q183" s="60">
        <f>IF(P183=0,"",COUNTIF(H183:O183,"&gt;=4")/P183)</f>
        <v/>
      </c>
      <c r="R183" s="60">
        <f>IF(P183=0,"",COUNTIF(H183:O183,"&lt;=2")/P183)</f>
        <v/>
      </c>
      <c r="S183" s="57">
        <f>IF(P183=0,"",MEDIAN(H183:O183))</f>
        <v/>
      </c>
      <c r="T183" s="57">
        <f>IF(G183&lt;&gt;"Round 2",G183,IF(P183=0,"Awaiting Round 2",IF(Q183&gt;=0.8,"Include",IF(R183&gt;=0.8,"Exclude","No consensus"))))</f>
        <v/>
      </c>
      <c r="U183" s="57" t="inlineStr"/>
    </row>
    <row r="184">
      <c r="A184" s="57" t="inlineStr">
        <is>
          <t>Tunneled dialysis catheter insertion</t>
        </is>
      </c>
      <c r="B184" s="57" t="inlineStr">
        <is>
          <t>catheter failure requiring replacement</t>
        </is>
      </c>
      <c r="C184" s="57" t="inlineStr">
        <is>
          <t>Core candidate</t>
        </is>
      </c>
      <c r="D184" s="60">
        <f>'Delphi Round 1'!O184</f>
        <v/>
      </c>
      <c r="E184" s="60">
        <f>'Delphi Round 1'!P184</f>
        <v/>
      </c>
      <c r="F184" s="57">
        <f>'Delphi Round 1'!Q184</f>
        <v/>
      </c>
      <c r="G184" s="57">
        <f>'Delphi Round 1'!R184</f>
        <v/>
      </c>
      <c r="H184" s="57" t="inlineStr"/>
      <c r="I184" s="57" t="inlineStr"/>
      <c r="J184" s="57" t="inlineStr"/>
      <c r="K184" s="57" t="inlineStr"/>
      <c r="L184" s="57" t="inlineStr"/>
      <c r="M184" s="57" t="inlineStr"/>
      <c r="N184" s="57" t="inlineStr"/>
      <c r="O184" s="57" t="inlineStr"/>
      <c r="P184" s="57">
        <f>COUNT(H184:O184)</f>
        <v/>
      </c>
      <c r="Q184" s="60">
        <f>IF(P184=0,"",COUNTIF(H184:O184,"&gt;=4")/P184)</f>
        <v/>
      </c>
      <c r="R184" s="60">
        <f>IF(P184=0,"",COUNTIF(H184:O184,"&lt;=2")/P184)</f>
        <v/>
      </c>
      <c r="S184" s="57">
        <f>IF(P184=0,"",MEDIAN(H184:O184))</f>
        <v/>
      </c>
      <c r="T184" s="57">
        <f>IF(G184&lt;&gt;"Round 2",G184,IF(P184=0,"Awaiting Round 2",IF(Q184&gt;=0.8,"Include",IF(R184&gt;=0.8,"Exclude","No consensus"))))</f>
        <v/>
      </c>
      <c r="U184" s="57" t="inlineStr"/>
    </row>
    <row r="185">
      <c r="A185" s="57" t="inlineStr">
        <is>
          <t>Tunneled dialysis catheter insertion</t>
        </is>
      </c>
      <c r="B185" s="57" t="inlineStr">
        <is>
          <t>Venous access bleeding/haematoma</t>
        </is>
      </c>
      <c r="C185" s="57" t="inlineStr">
        <is>
          <t>Core candidate</t>
        </is>
      </c>
      <c r="D185" s="60">
        <f>'Delphi Round 1'!O185</f>
        <v/>
      </c>
      <c r="E185" s="60">
        <f>'Delphi Round 1'!P185</f>
        <v/>
      </c>
      <c r="F185" s="57">
        <f>'Delphi Round 1'!Q185</f>
        <v/>
      </c>
      <c r="G185" s="57">
        <f>'Delphi Round 1'!R185</f>
        <v/>
      </c>
      <c r="H185" s="57" t="inlineStr"/>
      <c r="I185" s="57" t="inlineStr"/>
      <c r="J185" s="57" t="inlineStr"/>
      <c r="K185" s="57" t="inlineStr"/>
      <c r="L185" s="57" t="inlineStr"/>
      <c r="M185" s="57" t="inlineStr"/>
      <c r="N185" s="57" t="inlineStr"/>
      <c r="O185" s="57" t="inlineStr"/>
      <c r="P185" s="57">
        <f>COUNT(H185:O185)</f>
        <v/>
      </c>
      <c r="Q185" s="60">
        <f>IF(P185=0,"",COUNTIF(H185:O185,"&gt;=4")/P185)</f>
        <v/>
      </c>
      <c r="R185" s="60">
        <f>IF(P185=0,"",COUNTIF(H185:O185,"&lt;=2")/P185)</f>
        <v/>
      </c>
      <c r="S185" s="57">
        <f>IF(P185=0,"",MEDIAN(H185:O185))</f>
        <v/>
      </c>
      <c r="T185" s="57">
        <f>IF(G185&lt;&gt;"Round 2",G185,IF(P185=0,"Awaiting Round 2",IF(Q185&gt;=0.8,"Include",IF(R185&gt;=0.8,"Exclude","No consensus"))))</f>
        <v/>
      </c>
      <c r="U185" s="57" t="inlineStr"/>
    </row>
    <row r="186">
      <c r="A186" s="57" t="inlineStr">
        <is>
          <t>Tunneled dialysis catheter insertion</t>
        </is>
      </c>
      <c r="B186" s="57" t="inlineStr">
        <is>
          <t>arterial puncture</t>
        </is>
      </c>
      <c r="C186" s="57" t="inlineStr">
        <is>
          <t>Core candidate</t>
        </is>
      </c>
      <c r="D186" s="60">
        <f>'Delphi Round 1'!O186</f>
        <v/>
      </c>
      <c r="E186" s="60">
        <f>'Delphi Round 1'!P186</f>
        <v/>
      </c>
      <c r="F186" s="57">
        <f>'Delphi Round 1'!Q186</f>
        <v/>
      </c>
      <c r="G186" s="57">
        <f>'Delphi Round 1'!R186</f>
        <v/>
      </c>
      <c r="H186" s="57" t="inlineStr"/>
      <c r="I186" s="57" t="inlineStr"/>
      <c r="J186" s="57" t="inlineStr"/>
      <c r="K186" s="57" t="inlineStr"/>
      <c r="L186" s="57" t="inlineStr"/>
      <c r="M186" s="57" t="inlineStr"/>
      <c r="N186" s="57" t="inlineStr"/>
      <c r="O186" s="57" t="inlineStr"/>
      <c r="P186" s="57">
        <f>COUNT(H186:O186)</f>
        <v/>
      </c>
      <c r="Q186" s="60">
        <f>IF(P186=0,"",COUNTIF(H186:O186,"&gt;=4")/P186)</f>
        <v/>
      </c>
      <c r="R186" s="60">
        <f>IF(P186=0,"",COUNTIF(H186:O186,"&lt;=2")/P186)</f>
        <v/>
      </c>
      <c r="S186" s="57">
        <f>IF(P186=0,"",MEDIAN(H186:O186))</f>
        <v/>
      </c>
      <c r="T186" s="57">
        <f>IF(G186&lt;&gt;"Round 2",G186,IF(P186=0,"Awaiting Round 2",IF(Q186&gt;=0.8,"Include",IF(R186&gt;=0.8,"Exclude","No consensus"))))</f>
        <v/>
      </c>
      <c r="U186" s="57" t="inlineStr"/>
    </row>
    <row r="187">
      <c r="A187" s="57" t="inlineStr">
        <is>
          <t>Tunneled dialysis catheter insertion</t>
        </is>
      </c>
      <c r="B187" s="57" t="inlineStr">
        <is>
          <t>Fluoroscopy/radiation and contrast if used</t>
        </is>
      </c>
      <c r="C187" s="57" t="inlineStr">
        <is>
          <t>Conditional / patient-specific</t>
        </is>
      </c>
      <c r="D187" s="60">
        <f>'Delphi Round 1'!O187</f>
        <v/>
      </c>
      <c r="E187" s="60">
        <f>'Delphi Round 1'!P187</f>
        <v/>
      </c>
      <c r="F187" s="57">
        <f>'Delphi Round 1'!Q187</f>
        <v/>
      </c>
      <c r="G187" s="57">
        <f>'Delphi Round 1'!R187</f>
        <v/>
      </c>
      <c r="H187" s="57" t="inlineStr"/>
      <c r="I187" s="57" t="inlineStr"/>
      <c r="J187" s="57" t="inlineStr"/>
      <c r="K187" s="57" t="inlineStr"/>
      <c r="L187" s="57" t="inlineStr"/>
      <c r="M187" s="57" t="inlineStr"/>
      <c r="N187" s="57" t="inlineStr"/>
      <c r="O187" s="57" t="inlineStr"/>
      <c r="P187" s="57">
        <f>COUNT(H187:O187)</f>
        <v/>
      </c>
      <c r="Q187" s="60">
        <f>IF(P187=0,"",COUNTIF(H187:O187,"&gt;=4")/P187)</f>
        <v/>
      </c>
      <c r="R187" s="60">
        <f>IF(P187=0,"",COUNTIF(H187:O187,"&lt;=2")/P187)</f>
        <v/>
      </c>
      <c r="S187" s="57">
        <f>IF(P187=0,"",MEDIAN(H187:O187))</f>
        <v/>
      </c>
      <c r="T187" s="57">
        <f>IF(G187&lt;&gt;"Round 2",G187,IF(P187=0,"Awaiting Round 2",IF(Q187&gt;=0.8,"Include",IF(R187&gt;=0.8,"Exclude","No consensus"))))</f>
        <v/>
      </c>
      <c r="U187" s="57" t="inlineStr"/>
    </row>
    <row r="188">
      <c r="A188" s="57" t="inlineStr">
        <is>
          <t>Tunneled dialysis catheter insertion</t>
        </is>
      </c>
      <c r="B188" s="57" t="inlineStr">
        <is>
          <t>sedation if used</t>
        </is>
      </c>
      <c r="C188" s="57" t="inlineStr">
        <is>
          <t>Conditional / patient-specific</t>
        </is>
      </c>
      <c r="D188" s="60">
        <f>'Delphi Round 1'!O188</f>
        <v/>
      </c>
      <c r="E188" s="60">
        <f>'Delphi Round 1'!P188</f>
        <v/>
      </c>
      <c r="F188" s="57">
        <f>'Delphi Round 1'!Q188</f>
        <v/>
      </c>
      <c r="G188" s="57">
        <f>'Delphi Round 1'!R188</f>
        <v/>
      </c>
      <c r="H188" s="57" t="inlineStr"/>
      <c r="I188" s="57" t="inlineStr"/>
      <c r="J188" s="57" t="inlineStr"/>
      <c r="K188" s="57" t="inlineStr"/>
      <c r="L188" s="57" t="inlineStr"/>
      <c r="M188" s="57" t="inlineStr"/>
      <c r="N188" s="57" t="inlineStr"/>
      <c r="O188" s="57" t="inlineStr"/>
      <c r="P188" s="57">
        <f>COUNT(H188:O188)</f>
        <v/>
      </c>
      <c r="Q188" s="60">
        <f>IF(P188=0,"",COUNTIF(H188:O188,"&gt;=4")/P188)</f>
        <v/>
      </c>
      <c r="R188" s="60">
        <f>IF(P188=0,"",COUNTIF(H188:O188,"&lt;=2")/P188)</f>
        <v/>
      </c>
      <c r="S188" s="57">
        <f>IF(P188=0,"",MEDIAN(H188:O188))</f>
        <v/>
      </c>
      <c r="T188" s="57">
        <f>IF(G188&lt;&gt;"Round 2",G188,IF(P188=0,"Awaiting Round 2",IF(Q188&gt;=0.8,"Include",IF(R188&gt;=0.8,"Exclude","No consensus"))))</f>
        <v/>
      </c>
      <c r="U188" s="57" t="inlineStr"/>
    </row>
    <row r="189">
      <c r="A189" s="57" t="inlineStr">
        <is>
          <t>Tunneled dialysis catheter insertion</t>
        </is>
      </c>
      <c r="B189" s="57" t="inlineStr">
        <is>
          <t>Access route, prior central venous stenosis/thrombosis, anatomy, coagulopathy and infection status</t>
        </is>
      </c>
      <c r="C189" s="57" t="inlineStr">
        <is>
          <t>Conditional / patient-specific</t>
        </is>
      </c>
      <c r="D189" s="60">
        <f>'Delphi Round 1'!O189</f>
        <v/>
      </c>
      <c r="E189" s="60">
        <f>'Delphi Round 1'!P189</f>
        <v/>
      </c>
      <c r="F189" s="57">
        <f>'Delphi Round 1'!Q189</f>
        <v/>
      </c>
      <c r="G189" s="57">
        <f>'Delphi Round 1'!R189</f>
        <v/>
      </c>
      <c r="H189" s="57" t="inlineStr"/>
      <c r="I189" s="57" t="inlineStr"/>
      <c r="J189" s="57" t="inlineStr"/>
      <c r="K189" s="57" t="inlineStr"/>
      <c r="L189" s="57" t="inlineStr"/>
      <c r="M189" s="57" t="inlineStr"/>
      <c r="N189" s="57" t="inlineStr"/>
      <c r="O189" s="57" t="inlineStr"/>
      <c r="P189" s="57">
        <f>COUNT(H189:O189)</f>
        <v/>
      </c>
      <c r="Q189" s="60">
        <f>IF(P189=0,"",COUNTIF(H189:O189,"&gt;=4")/P189)</f>
        <v/>
      </c>
      <c r="R189" s="60">
        <f>IF(P189=0,"",COUNTIF(H189:O189,"&lt;=2")/P189)</f>
        <v/>
      </c>
      <c r="S189" s="57">
        <f>IF(P189=0,"",MEDIAN(H189:O189))</f>
        <v/>
      </c>
      <c r="T189" s="57">
        <f>IF(G189&lt;&gt;"Round 2",G189,IF(P189=0,"Awaiting Round 2",IF(Q189&gt;=0.8,"Include",IF(R189&gt;=0.8,"Exclude","No consensus"))))</f>
        <v/>
      </c>
      <c r="U189" s="57" t="inlineStr"/>
    </row>
    <row r="190">
      <c r="A190" s="57" t="inlineStr">
        <is>
          <t>Uterine artery embolisation for fibroids (UAE)</t>
        </is>
      </c>
      <c r="B190" s="57" t="inlineStr">
        <is>
          <t>Pain, nausea, fever and post-embolisation syndrome (expected/common)</t>
        </is>
      </c>
      <c r="C190" s="57" t="inlineStr">
        <is>
          <t>Core candidate</t>
        </is>
      </c>
      <c r="D190" s="60">
        <f>'Delphi Round 1'!O190</f>
        <v/>
      </c>
      <c r="E190" s="60">
        <f>'Delphi Round 1'!P190</f>
        <v/>
      </c>
      <c r="F190" s="57">
        <f>'Delphi Round 1'!Q190</f>
        <v/>
      </c>
      <c r="G190" s="57">
        <f>'Delphi Round 1'!R190</f>
        <v/>
      </c>
      <c r="H190" s="57" t="inlineStr"/>
      <c r="I190" s="57" t="inlineStr"/>
      <c r="J190" s="57" t="inlineStr"/>
      <c r="K190" s="57" t="inlineStr"/>
      <c r="L190" s="57" t="inlineStr"/>
      <c r="M190" s="57" t="inlineStr"/>
      <c r="N190" s="57" t="inlineStr"/>
      <c r="O190" s="57" t="inlineStr"/>
      <c r="P190" s="57">
        <f>COUNT(H190:O190)</f>
        <v/>
      </c>
      <c r="Q190" s="60">
        <f>IF(P190=0,"",COUNTIF(H190:O190,"&gt;=4")/P190)</f>
        <v/>
      </c>
      <c r="R190" s="60">
        <f>IF(P190=0,"",COUNTIF(H190:O190,"&lt;=2")/P190)</f>
        <v/>
      </c>
      <c r="S190" s="57">
        <f>IF(P190=0,"",MEDIAN(H190:O190))</f>
        <v/>
      </c>
      <c r="T190" s="57">
        <f>IF(G190&lt;&gt;"Round 2",G190,IF(P190=0,"Awaiting Round 2",IF(Q190&gt;=0.8,"Include",IF(R190&gt;=0.8,"Exclude","No consensus"))))</f>
        <v/>
      </c>
      <c r="U190" s="57" t="inlineStr"/>
    </row>
    <row r="191">
      <c r="A191" s="57" t="inlineStr">
        <is>
          <t>Uterine artery embolisation for fibroids (UAE)</t>
        </is>
      </c>
      <c r="B191" s="57" t="inlineStr">
        <is>
          <t>fibroid expulsion</t>
        </is>
      </c>
      <c r="C191" s="57" t="inlineStr">
        <is>
          <t>Core candidate</t>
        </is>
      </c>
      <c r="D191" s="60">
        <f>'Delphi Round 1'!O191</f>
        <v/>
      </c>
      <c r="E191" s="60">
        <f>'Delphi Round 1'!P191</f>
        <v/>
      </c>
      <c r="F191" s="57">
        <f>'Delphi Round 1'!Q191</f>
        <v/>
      </c>
      <c r="G191" s="57">
        <f>'Delphi Round 1'!R191</f>
        <v/>
      </c>
      <c r="H191" s="57" t="inlineStr"/>
      <c r="I191" s="57" t="inlineStr"/>
      <c r="J191" s="57" t="inlineStr"/>
      <c r="K191" s="57" t="inlineStr"/>
      <c r="L191" s="57" t="inlineStr"/>
      <c r="M191" s="57" t="inlineStr"/>
      <c r="N191" s="57" t="inlineStr"/>
      <c r="O191" s="57" t="inlineStr"/>
      <c r="P191" s="57">
        <f>COUNT(H191:O191)</f>
        <v/>
      </c>
      <c r="Q191" s="60">
        <f>IF(P191=0,"",COUNTIF(H191:O191,"&gt;=4")/P191)</f>
        <v/>
      </c>
      <c r="R191" s="60">
        <f>IF(P191=0,"",COUNTIF(H191:O191,"&lt;=2")/P191)</f>
        <v/>
      </c>
      <c r="S191" s="57">
        <f>IF(P191=0,"",MEDIAN(H191:O191))</f>
        <v/>
      </c>
      <c r="T191" s="57">
        <f>IF(G191&lt;&gt;"Round 2",G191,IF(P191=0,"Awaiting Round 2",IF(Q191&gt;=0.8,"Include",IF(R191&gt;=0.8,"Exclude","No consensus"))))</f>
        <v/>
      </c>
      <c r="U191" s="57" t="inlineStr"/>
    </row>
    <row r="192">
      <c r="A192" s="57" t="inlineStr">
        <is>
          <t>Uterine artery embolisation for fibroids (UAE)</t>
        </is>
      </c>
      <c r="B192" s="57" t="inlineStr">
        <is>
          <t>Infection/endometritis</t>
        </is>
      </c>
      <c r="C192" s="57" t="inlineStr">
        <is>
          <t>Core candidate</t>
        </is>
      </c>
      <c r="D192" s="60">
        <f>'Delphi Round 1'!O192</f>
        <v/>
      </c>
      <c r="E192" s="60">
        <f>'Delphi Round 1'!P192</f>
        <v/>
      </c>
      <c r="F192" s="57">
        <f>'Delphi Round 1'!Q192</f>
        <v/>
      </c>
      <c r="G192" s="57">
        <f>'Delphi Round 1'!R192</f>
        <v/>
      </c>
      <c r="H192" s="57" t="inlineStr"/>
      <c r="I192" s="57" t="inlineStr"/>
      <c r="J192" s="57" t="inlineStr"/>
      <c r="K192" s="57" t="inlineStr"/>
      <c r="L192" s="57" t="inlineStr"/>
      <c r="M192" s="57" t="inlineStr"/>
      <c r="N192" s="57" t="inlineStr"/>
      <c r="O192" s="57" t="inlineStr"/>
      <c r="P192" s="57">
        <f>COUNT(H192:O192)</f>
        <v/>
      </c>
      <c r="Q192" s="60">
        <f>IF(P192=0,"",COUNTIF(H192:O192,"&gt;=4")/P192)</f>
        <v/>
      </c>
      <c r="R192" s="60">
        <f>IF(P192=0,"",COUNTIF(H192:O192,"&lt;=2")/P192)</f>
        <v/>
      </c>
      <c r="S192" s="57">
        <f>IF(P192=0,"",MEDIAN(H192:O192))</f>
        <v/>
      </c>
      <c r="T192" s="57">
        <f>IF(G192&lt;&gt;"Round 2",G192,IF(P192=0,"Awaiting Round 2",IF(Q192&gt;=0.8,"Include",IF(R192&gt;=0.8,"Exclude","No consensus"))))</f>
        <v/>
      </c>
      <c r="U192" s="57" t="inlineStr"/>
    </row>
    <row r="193">
      <c r="A193" s="57" t="inlineStr">
        <is>
          <t>Uterine artery embolisation for fibroids (UAE)</t>
        </is>
      </c>
      <c r="B193" s="57" t="inlineStr">
        <is>
          <t>persistent symptoms or repeat treatment</t>
        </is>
      </c>
      <c r="C193" s="57" t="inlineStr">
        <is>
          <t>Core candidate</t>
        </is>
      </c>
      <c r="D193" s="60">
        <f>'Delphi Round 1'!O193</f>
        <v/>
      </c>
      <c r="E193" s="60">
        <f>'Delphi Round 1'!P193</f>
        <v/>
      </c>
      <c r="F193" s="57">
        <f>'Delphi Round 1'!Q193</f>
        <v/>
      </c>
      <c r="G193" s="57">
        <f>'Delphi Round 1'!R193</f>
        <v/>
      </c>
      <c r="H193" s="57" t="inlineStr"/>
      <c r="I193" s="57" t="inlineStr"/>
      <c r="J193" s="57" t="inlineStr"/>
      <c r="K193" s="57" t="inlineStr"/>
      <c r="L193" s="57" t="inlineStr"/>
      <c r="M193" s="57" t="inlineStr"/>
      <c r="N193" s="57" t="inlineStr"/>
      <c r="O193" s="57" t="inlineStr"/>
      <c r="P193" s="57">
        <f>COUNT(H193:O193)</f>
        <v/>
      </c>
      <c r="Q193" s="60">
        <f>IF(P193=0,"",COUNTIF(H193:O193,"&gt;=4")/P193)</f>
        <v/>
      </c>
      <c r="R193" s="60">
        <f>IF(P193=0,"",COUNTIF(H193:O193,"&lt;=2")/P193)</f>
        <v/>
      </c>
      <c r="S193" s="57">
        <f>IF(P193=0,"",MEDIAN(H193:O193))</f>
        <v/>
      </c>
      <c r="T193" s="57">
        <f>IF(G193&lt;&gt;"Round 2",G193,IF(P193=0,"Awaiting Round 2",IF(Q193&gt;=0.8,"Include",IF(R193&gt;=0.8,"Exclude","No consensus"))))</f>
        <v/>
      </c>
      <c r="U193" s="57" t="inlineStr"/>
    </row>
    <row r="194">
      <c r="A194" s="57" t="inlineStr">
        <is>
          <t>Uterine artery embolisation for fibroids (UAE)</t>
        </is>
      </c>
      <c r="B194" s="57" t="inlineStr">
        <is>
          <t>Non-target ischaemia/necrosis</t>
        </is>
      </c>
      <c r="C194" s="57" t="inlineStr">
        <is>
          <t>Core candidate</t>
        </is>
      </c>
      <c r="D194" s="60">
        <f>'Delphi Round 1'!O194</f>
        <v/>
      </c>
      <c r="E194" s="60">
        <f>'Delphi Round 1'!P194</f>
        <v/>
      </c>
      <c r="F194" s="57">
        <f>'Delphi Round 1'!Q194</f>
        <v/>
      </c>
      <c r="G194" s="57">
        <f>'Delphi Round 1'!R194</f>
        <v/>
      </c>
      <c r="H194" s="57" t="inlineStr"/>
      <c r="I194" s="57" t="inlineStr"/>
      <c r="J194" s="57" t="inlineStr"/>
      <c r="K194" s="57" t="inlineStr"/>
      <c r="L194" s="57" t="inlineStr"/>
      <c r="M194" s="57" t="inlineStr"/>
      <c r="N194" s="57" t="inlineStr"/>
      <c r="O194" s="57" t="inlineStr"/>
      <c r="P194" s="57">
        <f>COUNT(H194:O194)</f>
        <v/>
      </c>
      <c r="Q194" s="60">
        <f>IF(P194=0,"",COUNTIF(H194:O194,"&gt;=4")/P194)</f>
        <v/>
      </c>
      <c r="R194" s="60">
        <f>IF(P194=0,"",COUNTIF(H194:O194,"&lt;=2")/P194)</f>
        <v/>
      </c>
      <c r="S194" s="57">
        <f>IF(P194=0,"",MEDIAN(H194:O194))</f>
        <v/>
      </c>
      <c r="T194" s="57">
        <f>IF(G194&lt;&gt;"Round 2",G194,IF(P194=0,"Awaiting Round 2",IF(Q194&gt;=0.8,"Include",IF(R194&gt;=0.8,"Exclude","No consensus"))))</f>
        <v/>
      </c>
      <c r="U194" s="57" t="inlineStr"/>
    </row>
    <row r="195">
      <c r="A195" s="57" t="inlineStr">
        <is>
          <t>Uterine artery embolisation for fibroids (UAE)</t>
        </is>
      </c>
      <c r="B195" s="57" t="inlineStr">
        <is>
          <t>ovarian dysfunction/amenorrhoea or earlier menopause</t>
        </is>
      </c>
      <c r="C195" s="57" t="inlineStr">
        <is>
          <t>Core candidate</t>
        </is>
      </c>
      <c r="D195" s="60">
        <f>'Delphi Round 1'!O195</f>
        <v/>
      </c>
      <c r="E195" s="60">
        <f>'Delphi Round 1'!P195</f>
        <v/>
      </c>
      <c r="F195" s="57">
        <f>'Delphi Round 1'!Q195</f>
        <v/>
      </c>
      <c r="G195" s="57">
        <f>'Delphi Round 1'!R195</f>
        <v/>
      </c>
      <c r="H195" s="57" t="inlineStr"/>
      <c r="I195" s="57" t="inlineStr"/>
      <c r="J195" s="57" t="inlineStr"/>
      <c r="K195" s="57" t="inlineStr"/>
      <c r="L195" s="57" t="inlineStr"/>
      <c r="M195" s="57" t="inlineStr"/>
      <c r="N195" s="57" t="inlineStr"/>
      <c r="O195" s="57" t="inlineStr"/>
      <c r="P195" s="57">
        <f>COUNT(H195:O195)</f>
        <v/>
      </c>
      <c r="Q195" s="60">
        <f>IF(P195=0,"",COUNTIF(H195:O195,"&gt;=4")/P195)</f>
        <v/>
      </c>
      <c r="R195" s="60">
        <f>IF(P195=0,"",COUNTIF(H195:O195,"&lt;=2")/P195)</f>
        <v/>
      </c>
      <c r="S195" s="57">
        <f>IF(P195=0,"",MEDIAN(H195:O195))</f>
        <v/>
      </c>
      <c r="T195" s="57">
        <f>IF(G195&lt;&gt;"Round 2",G195,IF(P195=0,"Awaiting Round 2",IF(Q195&gt;=0.8,"Include",IF(R195&gt;=0.8,"Exclude","No consensus"))))</f>
        <v/>
      </c>
      <c r="U195" s="57" t="inlineStr"/>
    </row>
    <row r="196">
      <c r="A196" s="57" t="inlineStr">
        <is>
          <t>Uterine artery embolisation for fibroids (UAE)</t>
        </is>
      </c>
      <c r="B196" s="57" t="inlineStr">
        <is>
          <t>hysterectomy</t>
        </is>
      </c>
      <c r="C196" s="57" t="inlineStr">
        <is>
          <t>Core candidate</t>
        </is>
      </c>
      <c r="D196" s="60">
        <f>'Delphi Round 1'!O196</f>
        <v/>
      </c>
      <c r="E196" s="60">
        <f>'Delphi Round 1'!P196</f>
        <v/>
      </c>
      <c r="F196" s="57">
        <f>'Delphi Round 1'!Q196</f>
        <v/>
      </c>
      <c r="G196" s="57">
        <f>'Delphi Round 1'!R196</f>
        <v/>
      </c>
      <c r="H196" s="57" t="inlineStr"/>
      <c r="I196" s="57" t="inlineStr"/>
      <c r="J196" s="57" t="inlineStr"/>
      <c r="K196" s="57" t="inlineStr"/>
      <c r="L196" s="57" t="inlineStr"/>
      <c r="M196" s="57" t="inlineStr"/>
      <c r="N196" s="57" t="inlineStr"/>
      <c r="O196" s="57" t="inlineStr"/>
      <c r="P196" s="57">
        <f>COUNT(H196:O196)</f>
        <v/>
      </c>
      <c r="Q196" s="60">
        <f>IF(P196=0,"",COUNTIF(H196:O196,"&gt;=4")/P196)</f>
        <v/>
      </c>
      <c r="R196" s="60">
        <f>IF(P196=0,"",COUNTIF(H196:O196,"&lt;=2")/P196)</f>
        <v/>
      </c>
      <c r="S196" s="57">
        <f>IF(P196=0,"",MEDIAN(H196:O196))</f>
        <v/>
      </c>
      <c r="T196" s="57">
        <f>IF(G196&lt;&gt;"Round 2",G196,IF(P196=0,"Awaiting Round 2",IF(Q196&gt;=0.8,"Include",IF(R196&gt;=0.8,"Exclude","No consensus"))))</f>
        <v/>
      </c>
      <c r="U196" s="57" t="inlineStr"/>
    </row>
    <row r="197">
      <c r="A197" s="57" t="inlineStr">
        <is>
          <t>Uterine artery embolisation for fibroids (UAE)</t>
        </is>
      </c>
      <c r="B197" s="57" t="inlineStr">
        <is>
          <t>fertility/pregnancy implications</t>
        </is>
      </c>
      <c r="C197" s="57" t="inlineStr">
        <is>
          <t>Core candidate</t>
        </is>
      </c>
      <c r="D197" s="60">
        <f>'Delphi Round 1'!O197</f>
        <v/>
      </c>
      <c r="E197" s="60">
        <f>'Delphi Round 1'!P197</f>
        <v/>
      </c>
      <c r="F197" s="57">
        <f>'Delphi Round 1'!Q197</f>
        <v/>
      </c>
      <c r="G197" s="57">
        <f>'Delphi Round 1'!R197</f>
        <v/>
      </c>
      <c r="H197" s="57" t="inlineStr"/>
      <c r="I197" s="57" t="inlineStr"/>
      <c r="J197" s="57" t="inlineStr"/>
      <c r="K197" s="57" t="inlineStr"/>
      <c r="L197" s="57" t="inlineStr"/>
      <c r="M197" s="57" t="inlineStr"/>
      <c r="N197" s="57" t="inlineStr"/>
      <c r="O197" s="57" t="inlineStr"/>
      <c r="P197" s="57">
        <f>COUNT(H197:O197)</f>
        <v/>
      </c>
      <c r="Q197" s="60">
        <f>IF(P197=0,"",COUNTIF(H197:O197,"&gt;=4")/P197)</f>
        <v/>
      </c>
      <c r="R197" s="60">
        <f>IF(P197=0,"",COUNTIF(H197:O197,"&lt;=2")/P197)</f>
        <v/>
      </c>
      <c r="S197" s="57">
        <f>IF(P197=0,"",MEDIAN(H197:O197))</f>
        <v/>
      </c>
      <c r="T197" s="57">
        <f>IF(G197&lt;&gt;"Round 2",G197,IF(P197=0,"Awaiting Round 2",IF(Q197&gt;=0.8,"Include",IF(R197&gt;=0.8,"Exclude","No consensus"))))</f>
        <v/>
      </c>
      <c r="U197" s="57" t="inlineStr"/>
    </row>
    <row r="198">
      <c r="A198" s="57" t="inlineStr">
        <is>
          <t>Uterine artery embolisation for fibroids (UAE)</t>
        </is>
      </c>
      <c r="B198" s="57" t="inlineStr">
        <is>
          <t>Access bleeding/haematoma</t>
        </is>
      </c>
      <c r="C198" s="57" t="inlineStr">
        <is>
          <t>Core candidate</t>
        </is>
      </c>
      <c r="D198" s="60">
        <f>'Delphi Round 1'!O198</f>
        <v/>
      </c>
      <c r="E198" s="60">
        <f>'Delphi Round 1'!P198</f>
        <v/>
      </c>
      <c r="F198" s="57">
        <f>'Delphi Round 1'!Q198</f>
        <v/>
      </c>
      <c r="G198" s="57">
        <f>'Delphi Round 1'!R198</f>
        <v/>
      </c>
      <c r="H198" s="57" t="inlineStr"/>
      <c r="I198" s="57" t="inlineStr"/>
      <c r="J198" s="57" t="inlineStr"/>
      <c r="K198" s="57" t="inlineStr"/>
      <c r="L198" s="57" t="inlineStr"/>
      <c r="M198" s="57" t="inlineStr"/>
      <c r="N198" s="57" t="inlineStr"/>
      <c r="O198" s="57" t="inlineStr"/>
      <c r="P198" s="57">
        <f>COUNT(H198:O198)</f>
        <v/>
      </c>
      <c r="Q198" s="60">
        <f>IF(P198=0,"",COUNTIF(H198:O198,"&gt;=4")/P198)</f>
        <v/>
      </c>
      <c r="R198" s="60">
        <f>IF(P198=0,"",COUNTIF(H198:O198,"&lt;=2")/P198)</f>
        <v/>
      </c>
      <c r="S198" s="57">
        <f>IF(P198=0,"",MEDIAN(H198:O198))</f>
        <v/>
      </c>
      <c r="T198" s="57">
        <f>IF(G198&lt;&gt;"Round 2",G198,IF(P198=0,"Awaiting Round 2",IF(Q198&gt;=0.8,"Include",IF(R198&gt;=0.8,"Exclude","No consensus"))))</f>
        <v/>
      </c>
      <c r="U198" s="57" t="inlineStr"/>
    </row>
    <row r="199">
      <c r="A199" s="57" t="inlineStr">
        <is>
          <t>Uterine artery embolisation for fibroids (UAE)</t>
        </is>
      </c>
      <c r="B199" s="57" t="inlineStr">
        <is>
          <t>arterial injury</t>
        </is>
      </c>
      <c r="C199" s="57" t="inlineStr">
        <is>
          <t>Core candidate</t>
        </is>
      </c>
      <c r="D199" s="60">
        <f>'Delphi Round 1'!O199</f>
        <v/>
      </c>
      <c r="E199" s="60">
        <f>'Delphi Round 1'!P199</f>
        <v/>
      </c>
      <c r="F199" s="57">
        <f>'Delphi Round 1'!Q199</f>
        <v/>
      </c>
      <c r="G199" s="57">
        <f>'Delphi Round 1'!R199</f>
        <v/>
      </c>
      <c r="H199" s="57" t="inlineStr"/>
      <c r="I199" s="57" t="inlineStr"/>
      <c r="J199" s="57" t="inlineStr"/>
      <c r="K199" s="57" t="inlineStr"/>
      <c r="L199" s="57" t="inlineStr"/>
      <c r="M199" s="57" t="inlineStr"/>
      <c r="N199" s="57" t="inlineStr"/>
      <c r="O199" s="57" t="inlineStr"/>
      <c r="P199" s="57">
        <f>COUNT(H199:O199)</f>
        <v/>
      </c>
      <c r="Q199" s="60">
        <f>IF(P199=0,"",COUNTIF(H199:O199,"&gt;=4")/P199)</f>
        <v/>
      </c>
      <c r="R199" s="60">
        <f>IF(P199=0,"",COUNTIF(H199:O199,"&lt;=2")/P199)</f>
        <v/>
      </c>
      <c r="S199" s="57">
        <f>IF(P199=0,"",MEDIAN(H199:O199))</f>
        <v/>
      </c>
      <c r="T199" s="57">
        <f>IF(G199&lt;&gt;"Round 2",G199,IF(P199=0,"Awaiting Round 2",IF(Q199&gt;=0.8,"Include",IF(R199&gt;=0.8,"Exclude","No consensus"))))</f>
        <v/>
      </c>
      <c r="U199" s="57" t="inlineStr"/>
    </row>
    <row r="200">
      <c r="A200" s="57" t="inlineStr">
        <is>
          <t>Uterine artery embolisation for fibroids (UAE)</t>
        </is>
      </c>
      <c r="B200" s="57" t="inlineStr">
        <is>
          <t>Contrast reaction/AKI</t>
        </is>
      </c>
      <c r="C200" s="57" t="inlineStr">
        <is>
          <t>Conditional / patient-specific</t>
        </is>
      </c>
      <c r="D200" s="60">
        <f>'Delphi Round 1'!O200</f>
        <v/>
      </c>
      <c r="E200" s="60">
        <f>'Delphi Round 1'!P200</f>
        <v/>
      </c>
      <c r="F200" s="57">
        <f>'Delphi Round 1'!Q200</f>
        <v/>
      </c>
      <c r="G200" s="57">
        <f>'Delphi Round 1'!R200</f>
        <v/>
      </c>
      <c r="H200" s="57" t="inlineStr"/>
      <c r="I200" s="57" t="inlineStr"/>
      <c r="J200" s="57" t="inlineStr"/>
      <c r="K200" s="57" t="inlineStr"/>
      <c r="L200" s="57" t="inlineStr"/>
      <c r="M200" s="57" t="inlineStr"/>
      <c r="N200" s="57" t="inlineStr"/>
      <c r="O200" s="57" t="inlineStr"/>
      <c r="P200" s="57">
        <f>COUNT(H200:O200)</f>
        <v/>
      </c>
      <c r="Q200" s="60">
        <f>IF(P200=0,"",COUNTIF(H200:O200,"&gt;=4")/P200)</f>
        <v/>
      </c>
      <c r="R200" s="60">
        <f>IF(P200=0,"",COUNTIF(H200:O200,"&lt;=2")/P200)</f>
        <v/>
      </c>
      <c r="S200" s="57">
        <f>IF(P200=0,"",MEDIAN(H200:O200))</f>
        <v/>
      </c>
      <c r="T200" s="57">
        <f>IF(G200&lt;&gt;"Round 2",G200,IF(P200=0,"Awaiting Round 2",IF(Q200&gt;=0.8,"Include",IF(R200&gt;=0.8,"Exclude","No consensus"))))</f>
        <v/>
      </c>
      <c r="U200" s="57" t="inlineStr"/>
    </row>
    <row r="201">
      <c r="A201" s="57" t="inlineStr">
        <is>
          <t>Uterine artery embolisation for fibroids (UAE)</t>
        </is>
      </c>
      <c r="B201" s="57" t="inlineStr">
        <is>
          <t>radiation exposure</t>
        </is>
      </c>
      <c r="C201" s="57" t="inlineStr">
        <is>
          <t>Conditional / patient-specific</t>
        </is>
      </c>
      <c r="D201" s="60">
        <f>'Delphi Round 1'!O201</f>
        <v/>
      </c>
      <c r="E201" s="60">
        <f>'Delphi Round 1'!P201</f>
        <v/>
      </c>
      <c r="F201" s="57">
        <f>'Delphi Round 1'!Q201</f>
        <v/>
      </c>
      <c r="G201" s="57">
        <f>'Delphi Round 1'!R201</f>
        <v/>
      </c>
      <c r="H201" s="57" t="inlineStr"/>
      <c r="I201" s="57" t="inlineStr"/>
      <c r="J201" s="57" t="inlineStr"/>
      <c r="K201" s="57" t="inlineStr"/>
      <c r="L201" s="57" t="inlineStr"/>
      <c r="M201" s="57" t="inlineStr"/>
      <c r="N201" s="57" t="inlineStr"/>
      <c r="O201" s="57" t="inlineStr"/>
      <c r="P201" s="57">
        <f>COUNT(H201:O201)</f>
        <v/>
      </c>
      <c r="Q201" s="60">
        <f>IF(P201=0,"",COUNTIF(H201:O201,"&gt;=4")/P201)</f>
        <v/>
      </c>
      <c r="R201" s="60">
        <f>IF(P201=0,"",COUNTIF(H201:O201,"&lt;=2")/P201)</f>
        <v/>
      </c>
      <c r="S201" s="57">
        <f>IF(P201=0,"",MEDIAN(H201:O201))</f>
        <v/>
      </c>
      <c r="T201" s="57">
        <f>IF(G201&lt;&gt;"Round 2",G201,IF(P201=0,"Awaiting Round 2",IF(Q201&gt;=0.8,"Include",IF(R201&gt;=0.8,"Exclude","No consensus"))))</f>
        <v/>
      </c>
      <c r="U201" s="57" t="inlineStr"/>
    </row>
    <row r="202">
      <c r="A202" s="57" t="inlineStr">
        <is>
          <t>Uterine artery embolisation for fibroids (UAE)</t>
        </is>
      </c>
      <c r="B202" s="57" t="inlineStr">
        <is>
          <t>Age, ovarian reserve, reproductive goals, infection risk and fibroid anatomy</t>
        </is>
      </c>
      <c r="C202" s="57" t="inlineStr">
        <is>
          <t>Conditional / patient-specific</t>
        </is>
      </c>
      <c r="D202" s="60">
        <f>'Delphi Round 1'!O202</f>
        <v/>
      </c>
      <c r="E202" s="60">
        <f>'Delphi Round 1'!P202</f>
        <v/>
      </c>
      <c r="F202" s="57">
        <f>'Delphi Round 1'!Q202</f>
        <v/>
      </c>
      <c r="G202" s="57">
        <f>'Delphi Round 1'!R202</f>
        <v/>
      </c>
      <c r="H202" s="57" t="inlineStr"/>
      <c r="I202" s="57" t="inlineStr"/>
      <c r="J202" s="57" t="inlineStr"/>
      <c r="K202" s="57" t="inlineStr"/>
      <c r="L202" s="57" t="inlineStr"/>
      <c r="M202" s="57" t="inlineStr"/>
      <c r="N202" s="57" t="inlineStr"/>
      <c r="O202" s="57" t="inlineStr"/>
      <c r="P202" s="57">
        <f>COUNT(H202:O202)</f>
        <v/>
      </c>
      <c r="Q202" s="60">
        <f>IF(P202=0,"",COUNTIF(H202:O202,"&gt;=4")/P202)</f>
        <v/>
      </c>
      <c r="R202" s="60">
        <f>IF(P202=0,"",COUNTIF(H202:O202,"&lt;=2")/P202)</f>
        <v/>
      </c>
      <c r="S202" s="57">
        <f>IF(P202=0,"",MEDIAN(H202:O202))</f>
        <v/>
      </c>
      <c r="T202" s="57">
        <f>IF(G202&lt;&gt;"Round 2",G202,IF(P202=0,"Awaiting Round 2",IF(Q202&gt;=0.8,"Include",IF(R202&gt;=0.8,"Exclude","No consensus"))))</f>
        <v/>
      </c>
      <c r="U202" s="57" t="inlineStr"/>
    </row>
    <row r="203">
      <c r="A203" s="57" t="inlineStr">
        <is>
          <t>Varicocele embolisation</t>
        </is>
      </c>
      <c r="B203" s="57" t="inlineStr">
        <is>
          <t>Local pain/swelling or thrombophlebitic symptoms</t>
        </is>
      </c>
      <c r="C203" s="57" t="inlineStr">
        <is>
          <t>Core candidate</t>
        </is>
      </c>
      <c r="D203" s="60">
        <f>'Delphi Round 1'!O203</f>
        <v/>
      </c>
      <c r="E203" s="60">
        <f>'Delphi Round 1'!P203</f>
        <v/>
      </c>
      <c r="F203" s="57">
        <f>'Delphi Round 1'!Q203</f>
        <v/>
      </c>
      <c r="G203" s="57">
        <f>'Delphi Round 1'!R203</f>
        <v/>
      </c>
      <c r="H203" s="57" t="inlineStr"/>
      <c r="I203" s="57" t="inlineStr"/>
      <c r="J203" s="57" t="inlineStr"/>
      <c r="K203" s="57" t="inlineStr"/>
      <c r="L203" s="57" t="inlineStr"/>
      <c r="M203" s="57" t="inlineStr"/>
      <c r="N203" s="57" t="inlineStr"/>
      <c r="O203" s="57" t="inlineStr"/>
      <c r="P203" s="57">
        <f>COUNT(H203:O203)</f>
        <v/>
      </c>
      <c r="Q203" s="60">
        <f>IF(P203=0,"",COUNTIF(H203:O203,"&gt;=4")/P203)</f>
        <v/>
      </c>
      <c r="R203" s="60">
        <f>IF(P203=0,"",COUNTIF(H203:O203,"&lt;=2")/P203)</f>
        <v/>
      </c>
      <c r="S203" s="57">
        <f>IF(P203=0,"",MEDIAN(H203:O203))</f>
        <v/>
      </c>
      <c r="T203" s="57">
        <f>IF(G203&lt;&gt;"Round 2",G203,IF(P203=0,"Awaiting Round 2",IF(Q203&gt;=0.8,"Include",IF(R203&gt;=0.8,"Exclude","No consensus"))))</f>
        <v/>
      </c>
      <c r="U203" s="57" t="inlineStr"/>
    </row>
    <row r="204">
      <c r="A204" s="57" t="inlineStr">
        <is>
          <t>Varicocele embolisation</t>
        </is>
      </c>
      <c r="B204" s="57" t="inlineStr">
        <is>
          <t>persistent/recurrent varicocele</t>
        </is>
      </c>
      <c r="C204" s="57" t="inlineStr">
        <is>
          <t>Core candidate</t>
        </is>
      </c>
      <c r="D204" s="60">
        <f>'Delphi Round 1'!O204</f>
        <v/>
      </c>
      <c r="E204" s="60">
        <f>'Delphi Round 1'!P204</f>
        <v/>
      </c>
      <c r="F204" s="57">
        <f>'Delphi Round 1'!Q204</f>
        <v/>
      </c>
      <c r="G204" s="57">
        <f>'Delphi Round 1'!R204</f>
        <v/>
      </c>
      <c r="H204" s="57" t="inlineStr"/>
      <c r="I204" s="57" t="inlineStr"/>
      <c r="J204" s="57" t="inlineStr"/>
      <c r="K204" s="57" t="inlineStr"/>
      <c r="L204" s="57" t="inlineStr"/>
      <c r="M204" s="57" t="inlineStr"/>
      <c r="N204" s="57" t="inlineStr"/>
      <c r="O204" s="57" t="inlineStr"/>
      <c r="P204" s="57">
        <f>COUNT(H204:O204)</f>
        <v/>
      </c>
      <c r="Q204" s="60">
        <f>IF(P204=0,"",COUNTIF(H204:O204,"&gt;=4")/P204)</f>
        <v/>
      </c>
      <c r="R204" s="60">
        <f>IF(P204=0,"",COUNTIF(H204:O204,"&lt;=2")/P204)</f>
        <v/>
      </c>
      <c r="S204" s="57">
        <f>IF(P204=0,"",MEDIAN(H204:O204))</f>
        <v/>
      </c>
      <c r="T204" s="57">
        <f>IF(G204&lt;&gt;"Round 2",G204,IF(P204=0,"Awaiting Round 2",IF(Q204&gt;=0.8,"Include",IF(R204&gt;=0.8,"Exclude","No consensus"))))</f>
        <v/>
      </c>
      <c r="U204" s="57" t="inlineStr"/>
    </row>
    <row r="205">
      <c r="A205" s="57" t="inlineStr">
        <is>
          <t>Varicocele embolisation</t>
        </is>
      </c>
      <c r="B205" s="57" t="inlineStr">
        <is>
          <t>Venous injury/perforation</t>
        </is>
      </c>
      <c r="C205" s="57" t="inlineStr">
        <is>
          <t>Core candidate</t>
        </is>
      </c>
      <c r="D205" s="60">
        <f>'Delphi Round 1'!O205</f>
        <v/>
      </c>
      <c r="E205" s="60">
        <f>'Delphi Round 1'!P205</f>
        <v/>
      </c>
      <c r="F205" s="57">
        <f>'Delphi Round 1'!Q205</f>
        <v/>
      </c>
      <c r="G205" s="57">
        <f>'Delphi Round 1'!R205</f>
        <v/>
      </c>
      <c r="H205" s="57" t="inlineStr"/>
      <c r="I205" s="57" t="inlineStr"/>
      <c r="J205" s="57" t="inlineStr"/>
      <c r="K205" s="57" t="inlineStr"/>
      <c r="L205" s="57" t="inlineStr"/>
      <c r="M205" s="57" t="inlineStr"/>
      <c r="N205" s="57" t="inlineStr"/>
      <c r="O205" s="57" t="inlineStr"/>
      <c r="P205" s="57">
        <f>COUNT(H205:O205)</f>
        <v/>
      </c>
      <c r="Q205" s="60">
        <f>IF(P205=0,"",COUNTIF(H205:O205,"&gt;=4")/P205)</f>
        <v/>
      </c>
      <c r="R205" s="60">
        <f>IF(P205=0,"",COUNTIF(H205:O205,"&lt;=2")/P205)</f>
        <v/>
      </c>
      <c r="S205" s="57">
        <f>IF(P205=0,"",MEDIAN(H205:O205))</f>
        <v/>
      </c>
      <c r="T205" s="57">
        <f>IF(G205&lt;&gt;"Round 2",G205,IF(P205=0,"Awaiting Round 2",IF(Q205&gt;=0.8,"Include",IF(R205&gt;=0.8,"Exclude","No consensus"))))</f>
        <v/>
      </c>
      <c r="U205" s="57" t="inlineStr"/>
    </row>
    <row r="206">
      <c r="A206" s="57" t="inlineStr">
        <is>
          <t>Varicocele embolisation</t>
        </is>
      </c>
      <c r="B206" s="57" t="inlineStr">
        <is>
          <t>technical failure and repeat procedure</t>
        </is>
      </c>
      <c r="C206" s="57" t="inlineStr">
        <is>
          <t>Core candidate</t>
        </is>
      </c>
      <c r="D206" s="60">
        <f>'Delphi Round 1'!O206</f>
        <v/>
      </c>
      <c r="E206" s="60">
        <f>'Delphi Round 1'!P206</f>
        <v/>
      </c>
      <c r="F206" s="57">
        <f>'Delphi Round 1'!Q206</f>
        <v/>
      </c>
      <c r="G206" s="57">
        <f>'Delphi Round 1'!R206</f>
        <v/>
      </c>
      <c r="H206" s="57" t="inlineStr"/>
      <c r="I206" s="57" t="inlineStr"/>
      <c r="J206" s="57" t="inlineStr"/>
      <c r="K206" s="57" t="inlineStr"/>
      <c r="L206" s="57" t="inlineStr"/>
      <c r="M206" s="57" t="inlineStr"/>
      <c r="N206" s="57" t="inlineStr"/>
      <c r="O206" s="57" t="inlineStr"/>
      <c r="P206" s="57">
        <f>COUNT(H206:O206)</f>
        <v/>
      </c>
      <c r="Q206" s="60">
        <f>IF(P206=0,"",COUNTIF(H206:O206,"&gt;=4")/P206)</f>
        <v/>
      </c>
      <c r="R206" s="60">
        <f>IF(P206=0,"",COUNTIF(H206:O206,"&lt;=2")/P206)</f>
        <v/>
      </c>
      <c r="S206" s="57">
        <f>IF(P206=0,"",MEDIAN(H206:O206))</f>
        <v/>
      </c>
      <c r="T206" s="57">
        <f>IF(G206&lt;&gt;"Round 2",G206,IF(P206=0,"Awaiting Round 2",IF(Q206&gt;=0.8,"Include",IF(R206&gt;=0.8,"Exclude","No consensus"))))</f>
        <v/>
      </c>
      <c r="U206" s="57" t="inlineStr"/>
    </row>
    <row r="207">
      <c r="A207" s="57" t="inlineStr">
        <is>
          <t>Varicocele embolisation</t>
        </is>
      </c>
      <c r="B207" s="57" t="inlineStr">
        <is>
          <t>Coil/plug/liquid-agent migration, potentially pulmonary</t>
        </is>
      </c>
      <c r="C207" s="57" t="inlineStr">
        <is>
          <t>Core candidate</t>
        </is>
      </c>
      <c r="D207" s="60">
        <f>'Delphi Round 1'!O207</f>
        <v/>
      </c>
      <c r="E207" s="60">
        <f>'Delphi Round 1'!P207</f>
        <v/>
      </c>
      <c r="F207" s="57">
        <f>'Delphi Round 1'!Q207</f>
        <v/>
      </c>
      <c r="G207" s="57">
        <f>'Delphi Round 1'!R207</f>
        <v/>
      </c>
      <c r="H207" s="57" t="inlineStr"/>
      <c r="I207" s="57" t="inlineStr"/>
      <c r="J207" s="57" t="inlineStr"/>
      <c r="K207" s="57" t="inlineStr"/>
      <c r="L207" s="57" t="inlineStr"/>
      <c r="M207" s="57" t="inlineStr"/>
      <c r="N207" s="57" t="inlineStr"/>
      <c r="O207" s="57" t="inlineStr"/>
      <c r="P207" s="57">
        <f>COUNT(H207:O207)</f>
        <v/>
      </c>
      <c r="Q207" s="60">
        <f>IF(P207=0,"",COUNTIF(H207:O207,"&gt;=4")/P207)</f>
        <v/>
      </c>
      <c r="R207" s="60">
        <f>IF(P207=0,"",COUNTIF(H207:O207,"&lt;=2")/P207)</f>
        <v/>
      </c>
      <c r="S207" s="57">
        <f>IF(P207=0,"",MEDIAN(H207:O207))</f>
        <v/>
      </c>
      <c r="T207" s="57">
        <f>IF(G207&lt;&gt;"Round 2",G207,IF(P207=0,"Awaiting Round 2",IF(Q207&gt;=0.8,"Include",IF(R207&gt;=0.8,"Exclude","No consensus"))))</f>
        <v/>
      </c>
      <c r="U207" s="57" t="inlineStr"/>
    </row>
    <row r="208">
      <c r="A208" s="57" t="inlineStr">
        <is>
          <t>Varicocele embolisation</t>
        </is>
      </c>
      <c r="B208" s="57" t="inlineStr">
        <is>
          <t>serious non-target embolisation</t>
        </is>
      </c>
      <c r="C208" s="57" t="inlineStr">
        <is>
          <t>Core candidate</t>
        </is>
      </c>
      <c r="D208" s="60">
        <f>'Delphi Round 1'!O208</f>
        <v/>
      </c>
      <c r="E208" s="60">
        <f>'Delphi Round 1'!P208</f>
        <v/>
      </c>
      <c r="F208" s="57">
        <f>'Delphi Round 1'!Q208</f>
        <v/>
      </c>
      <c r="G208" s="57">
        <f>'Delphi Round 1'!R208</f>
        <v/>
      </c>
      <c r="H208" s="57" t="inlineStr"/>
      <c r="I208" s="57" t="inlineStr"/>
      <c r="J208" s="57" t="inlineStr"/>
      <c r="K208" s="57" t="inlineStr"/>
      <c r="L208" s="57" t="inlineStr"/>
      <c r="M208" s="57" t="inlineStr"/>
      <c r="N208" s="57" t="inlineStr"/>
      <c r="O208" s="57" t="inlineStr"/>
      <c r="P208" s="57">
        <f>COUNT(H208:O208)</f>
        <v/>
      </c>
      <c r="Q208" s="60">
        <f>IF(P208=0,"",COUNTIF(H208:O208,"&gt;=4")/P208)</f>
        <v/>
      </c>
      <c r="R208" s="60">
        <f>IF(P208=0,"",COUNTIF(H208:O208,"&lt;=2")/P208)</f>
        <v/>
      </c>
      <c r="S208" s="57">
        <f>IF(P208=0,"",MEDIAN(H208:O208))</f>
        <v/>
      </c>
      <c r="T208" s="57">
        <f>IF(G208&lt;&gt;"Round 2",G208,IF(P208=0,"Awaiting Round 2",IF(Q208&gt;=0.8,"Include",IF(R208&gt;=0.8,"Exclude","No consensus"))))</f>
        <v/>
      </c>
      <c r="U208" s="57" t="inlineStr"/>
    </row>
    <row r="209">
      <c r="A209" s="57" t="inlineStr">
        <is>
          <t>Varicocele embolisation</t>
        </is>
      </c>
      <c r="B209" s="57" t="inlineStr">
        <is>
          <t>Venous access bleeding/haematoma</t>
        </is>
      </c>
      <c r="C209" s="57" t="inlineStr">
        <is>
          <t>Core candidate</t>
        </is>
      </c>
      <c r="D209" s="60">
        <f>'Delphi Round 1'!O209</f>
        <v/>
      </c>
      <c r="E209" s="60">
        <f>'Delphi Round 1'!P209</f>
        <v/>
      </c>
      <c r="F209" s="57">
        <f>'Delphi Round 1'!Q209</f>
        <v/>
      </c>
      <c r="G209" s="57">
        <f>'Delphi Round 1'!R209</f>
        <v/>
      </c>
      <c r="H209" s="57" t="inlineStr"/>
      <c r="I209" s="57" t="inlineStr"/>
      <c r="J209" s="57" t="inlineStr"/>
      <c r="K209" s="57" t="inlineStr"/>
      <c r="L209" s="57" t="inlineStr"/>
      <c r="M209" s="57" t="inlineStr"/>
      <c r="N209" s="57" t="inlineStr"/>
      <c r="O209" s="57" t="inlineStr"/>
      <c r="P209" s="57">
        <f>COUNT(H209:O209)</f>
        <v/>
      </c>
      <c r="Q209" s="60">
        <f>IF(P209=0,"",COUNTIF(H209:O209,"&gt;=4")/P209)</f>
        <v/>
      </c>
      <c r="R209" s="60">
        <f>IF(P209=0,"",COUNTIF(H209:O209,"&lt;=2")/P209)</f>
        <v/>
      </c>
      <c r="S209" s="57">
        <f>IF(P209=0,"",MEDIAN(H209:O209))</f>
        <v/>
      </c>
      <c r="T209" s="57">
        <f>IF(G209&lt;&gt;"Round 2",G209,IF(P209=0,"Awaiting Round 2",IF(Q209&gt;=0.8,"Include",IF(R209&gt;=0.8,"Exclude","No consensus"))))</f>
        <v/>
      </c>
      <c r="U209" s="57" t="inlineStr"/>
    </row>
    <row r="210">
      <c r="A210" s="57" t="inlineStr">
        <is>
          <t>Varicocele embolisation</t>
        </is>
      </c>
      <c r="B210" s="57" t="inlineStr">
        <is>
          <t>Contrast reaction/AKI and radiation exposure</t>
        </is>
      </c>
      <c r="C210" s="57" t="inlineStr">
        <is>
          <t>Conditional / patient-specific</t>
        </is>
      </c>
      <c r="D210" s="60">
        <f>'Delphi Round 1'!O210</f>
        <v/>
      </c>
      <c r="E210" s="60">
        <f>'Delphi Round 1'!P210</f>
        <v/>
      </c>
      <c r="F210" s="57">
        <f>'Delphi Round 1'!Q210</f>
        <v/>
      </c>
      <c r="G210" s="57">
        <f>'Delphi Round 1'!R210</f>
        <v/>
      </c>
      <c r="H210" s="57" t="inlineStr"/>
      <c r="I210" s="57" t="inlineStr"/>
      <c r="J210" s="57" t="inlineStr"/>
      <c r="K210" s="57" t="inlineStr"/>
      <c r="L210" s="57" t="inlineStr"/>
      <c r="M210" s="57" t="inlineStr"/>
      <c r="N210" s="57" t="inlineStr"/>
      <c r="O210" s="57" t="inlineStr"/>
      <c r="P210" s="57">
        <f>COUNT(H210:O210)</f>
        <v/>
      </c>
      <c r="Q210" s="60">
        <f>IF(P210=0,"",COUNTIF(H210:O210,"&gt;=4")/P210)</f>
        <v/>
      </c>
      <c r="R210" s="60">
        <f>IF(P210=0,"",COUNTIF(H210:O210,"&lt;=2")/P210)</f>
        <v/>
      </c>
      <c r="S210" s="57">
        <f>IF(P210=0,"",MEDIAN(H210:O210))</f>
        <v/>
      </c>
      <c r="T210" s="57">
        <f>IF(G210&lt;&gt;"Round 2",G210,IF(P210=0,"Awaiting Round 2",IF(Q210&gt;=0.8,"Include",IF(R210&gt;=0.8,"Exclude","No consensus"))))</f>
        <v/>
      </c>
      <c r="U210" s="57" t="inlineStr"/>
    </row>
    <row r="211">
      <c r="A211" s="57" t="inlineStr">
        <is>
          <t>Varicocele embolisation</t>
        </is>
      </c>
      <c r="B211" s="57" t="inlineStr">
        <is>
          <t>Embolic material, venous anatomy, route and fertility-related goals</t>
        </is>
      </c>
      <c r="C211" s="57" t="inlineStr">
        <is>
          <t>Conditional / patient-specific</t>
        </is>
      </c>
      <c r="D211" s="60">
        <f>'Delphi Round 1'!O211</f>
        <v/>
      </c>
      <c r="E211" s="60">
        <f>'Delphi Round 1'!P211</f>
        <v/>
      </c>
      <c r="F211" s="57">
        <f>'Delphi Round 1'!Q211</f>
        <v/>
      </c>
      <c r="G211" s="57">
        <f>'Delphi Round 1'!R211</f>
        <v/>
      </c>
      <c r="H211" s="57" t="inlineStr"/>
      <c r="I211" s="57" t="inlineStr"/>
      <c r="J211" s="57" t="inlineStr"/>
      <c r="K211" s="57" t="inlineStr"/>
      <c r="L211" s="57" t="inlineStr"/>
      <c r="M211" s="57" t="inlineStr"/>
      <c r="N211" s="57" t="inlineStr"/>
      <c r="O211" s="57" t="inlineStr"/>
      <c r="P211" s="57">
        <f>COUNT(H211:O211)</f>
        <v/>
      </c>
      <c r="Q211" s="60">
        <f>IF(P211=0,"",COUNTIF(H211:O211,"&gt;=4")/P211)</f>
        <v/>
      </c>
      <c r="R211" s="60">
        <f>IF(P211=0,"",COUNTIF(H211:O211,"&lt;=2")/P211)</f>
        <v/>
      </c>
      <c r="S211" s="57">
        <f>IF(P211=0,"",MEDIAN(H211:O211))</f>
        <v/>
      </c>
      <c r="T211" s="57">
        <f>IF(G211&lt;&gt;"Round 2",G211,IF(P211=0,"Awaiting Round 2",IF(Q211&gt;=0.8,"Include",IF(R211&gt;=0.8,"Exclude","No consensus"))))</f>
        <v/>
      </c>
      <c r="U211" s="57" t="inlineStr"/>
    </row>
    <row r="212">
      <c r="A212" s="57" t="inlineStr">
        <is>
          <t>Venous stenting</t>
        </is>
      </c>
      <c r="B212" s="57" t="inlineStr">
        <is>
          <t>Access bruising/bleeding</t>
        </is>
      </c>
      <c r="C212" s="57" t="inlineStr">
        <is>
          <t>Core candidate</t>
        </is>
      </c>
      <c r="D212" s="60">
        <f>'Delphi Round 1'!O212</f>
        <v/>
      </c>
      <c r="E212" s="60">
        <f>'Delphi Round 1'!P212</f>
        <v/>
      </c>
      <c r="F212" s="57">
        <f>'Delphi Round 1'!Q212</f>
        <v/>
      </c>
      <c r="G212" s="57">
        <f>'Delphi Round 1'!R212</f>
        <v/>
      </c>
      <c r="H212" s="57" t="inlineStr"/>
      <c r="I212" s="57" t="inlineStr"/>
      <c r="J212" s="57" t="inlineStr"/>
      <c r="K212" s="57" t="inlineStr"/>
      <c r="L212" s="57" t="inlineStr"/>
      <c r="M212" s="57" t="inlineStr"/>
      <c r="N212" s="57" t="inlineStr"/>
      <c r="O212" s="57" t="inlineStr"/>
      <c r="P212" s="57">
        <f>COUNT(H212:O212)</f>
        <v/>
      </c>
      <c r="Q212" s="60">
        <f>IF(P212=0,"",COUNTIF(H212:O212,"&gt;=4")/P212)</f>
        <v/>
      </c>
      <c r="R212" s="60">
        <f>IF(P212=0,"",COUNTIF(H212:O212,"&lt;=2")/P212)</f>
        <v/>
      </c>
      <c r="S212" s="57">
        <f>IF(P212=0,"",MEDIAN(H212:O212))</f>
        <v/>
      </c>
      <c r="T212" s="57">
        <f>IF(G212&lt;&gt;"Round 2",G212,IF(P212=0,"Awaiting Round 2",IF(Q212&gt;=0.8,"Include",IF(R212&gt;=0.8,"Exclude","No consensus"))))</f>
        <v/>
      </c>
      <c r="U212" s="57" t="inlineStr"/>
    </row>
    <row r="213">
      <c r="A213" s="57" t="inlineStr">
        <is>
          <t>Venous stenting</t>
        </is>
      </c>
      <c r="B213" s="57" t="inlineStr">
        <is>
          <t>persistent/recurrent symptoms</t>
        </is>
      </c>
      <c r="C213" s="57" t="inlineStr">
        <is>
          <t>Core candidate</t>
        </is>
      </c>
      <c r="D213" s="60">
        <f>'Delphi Round 1'!O213</f>
        <v/>
      </c>
      <c r="E213" s="60">
        <f>'Delphi Round 1'!P213</f>
        <v/>
      </c>
      <c r="F213" s="57">
        <f>'Delphi Round 1'!Q213</f>
        <v/>
      </c>
      <c r="G213" s="57">
        <f>'Delphi Round 1'!R213</f>
        <v/>
      </c>
      <c r="H213" s="57" t="inlineStr"/>
      <c r="I213" s="57" t="inlineStr"/>
      <c r="J213" s="57" t="inlineStr"/>
      <c r="K213" s="57" t="inlineStr"/>
      <c r="L213" s="57" t="inlineStr"/>
      <c r="M213" s="57" t="inlineStr"/>
      <c r="N213" s="57" t="inlineStr"/>
      <c r="O213" s="57" t="inlineStr"/>
      <c r="P213" s="57">
        <f>COUNT(H213:O213)</f>
        <v/>
      </c>
      <c r="Q213" s="60">
        <f>IF(P213=0,"",COUNTIF(H213:O213,"&gt;=4")/P213)</f>
        <v/>
      </c>
      <c r="R213" s="60">
        <f>IF(P213=0,"",COUNTIF(H213:O213,"&lt;=2")/P213)</f>
        <v/>
      </c>
      <c r="S213" s="57">
        <f>IF(P213=0,"",MEDIAN(H213:O213))</f>
        <v/>
      </c>
      <c r="T213" s="57">
        <f>IF(G213&lt;&gt;"Round 2",G213,IF(P213=0,"Awaiting Round 2",IF(Q213&gt;=0.8,"Include",IF(R213&gt;=0.8,"Exclude","No consensus"))))</f>
        <v/>
      </c>
      <c r="U213" s="57" t="inlineStr"/>
    </row>
    <row r="214">
      <c r="A214" s="57" t="inlineStr">
        <is>
          <t>Venous stenting</t>
        </is>
      </c>
      <c r="B214" s="57" t="inlineStr">
        <is>
          <t>Venous perforation/rupture</t>
        </is>
      </c>
      <c r="C214" s="57" t="inlineStr">
        <is>
          <t>Core candidate</t>
        </is>
      </c>
      <c r="D214" s="60">
        <f>'Delphi Round 1'!O214</f>
        <v/>
      </c>
      <c r="E214" s="60">
        <f>'Delphi Round 1'!P214</f>
        <v/>
      </c>
      <c r="F214" s="57">
        <f>'Delphi Round 1'!Q214</f>
        <v/>
      </c>
      <c r="G214" s="57">
        <f>'Delphi Round 1'!R214</f>
        <v/>
      </c>
      <c r="H214" s="57" t="inlineStr"/>
      <c r="I214" s="57" t="inlineStr"/>
      <c r="J214" s="57" t="inlineStr"/>
      <c r="K214" s="57" t="inlineStr"/>
      <c r="L214" s="57" t="inlineStr"/>
      <c r="M214" s="57" t="inlineStr"/>
      <c r="N214" s="57" t="inlineStr"/>
      <c r="O214" s="57" t="inlineStr"/>
      <c r="P214" s="57">
        <f>COUNT(H214:O214)</f>
        <v/>
      </c>
      <c r="Q214" s="60">
        <f>IF(P214=0,"",COUNTIF(H214:O214,"&gt;=4")/P214)</f>
        <v/>
      </c>
      <c r="R214" s="60">
        <f>IF(P214=0,"",COUNTIF(H214:O214,"&lt;=2")/P214)</f>
        <v/>
      </c>
      <c r="S214" s="57">
        <f>IF(P214=0,"",MEDIAN(H214:O214))</f>
        <v/>
      </c>
      <c r="T214" s="57">
        <f>IF(G214&lt;&gt;"Round 2",G214,IF(P214=0,"Awaiting Round 2",IF(Q214&gt;=0.8,"Include",IF(R214&gt;=0.8,"Exclude","No consensus"))))</f>
        <v/>
      </c>
      <c r="U214" s="57" t="inlineStr"/>
    </row>
    <row r="215">
      <c r="A215" s="57" t="inlineStr">
        <is>
          <t>Venous stenting</t>
        </is>
      </c>
      <c r="B215" s="57" t="inlineStr">
        <is>
          <t>acute or in-stent thrombosis/occlusion</t>
        </is>
      </c>
      <c r="C215" s="57" t="inlineStr">
        <is>
          <t>Core candidate</t>
        </is>
      </c>
      <c r="D215" s="60">
        <f>'Delphi Round 1'!O215</f>
        <v/>
      </c>
      <c r="E215" s="60">
        <f>'Delphi Round 1'!P215</f>
        <v/>
      </c>
      <c r="F215" s="57">
        <f>'Delphi Round 1'!Q215</f>
        <v/>
      </c>
      <c r="G215" s="57">
        <f>'Delphi Round 1'!R215</f>
        <v/>
      </c>
      <c r="H215" s="57" t="inlineStr"/>
      <c r="I215" s="57" t="inlineStr"/>
      <c r="J215" s="57" t="inlineStr"/>
      <c r="K215" s="57" t="inlineStr"/>
      <c r="L215" s="57" t="inlineStr"/>
      <c r="M215" s="57" t="inlineStr"/>
      <c r="N215" s="57" t="inlineStr"/>
      <c r="O215" s="57" t="inlineStr"/>
      <c r="P215" s="57">
        <f>COUNT(H215:O215)</f>
        <v/>
      </c>
      <c r="Q215" s="60">
        <f>IF(P215=0,"",COUNTIF(H215:O215,"&gt;=4")/P215)</f>
        <v/>
      </c>
      <c r="R215" s="60">
        <f>IF(P215=0,"",COUNTIF(H215:O215,"&lt;=2")/P215)</f>
        <v/>
      </c>
      <c r="S215" s="57">
        <f>IF(P215=0,"",MEDIAN(H215:O215))</f>
        <v/>
      </c>
      <c r="T215" s="57">
        <f>IF(G215&lt;&gt;"Round 2",G215,IF(P215=0,"Awaiting Round 2",IF(Q215&gt;=0.8,"Include",IF(R215&gt;=0.8,"Exclude","No consensus"))))</f>
        <v/>
      </c>
      <c r="U215" s="57" t="inlineStr"/>
    </row>
    <row r="216">
      <c r="A216" s="57" t="inlineStr">
        <is>
          <t>Venous stenting</t>
        </is>
      </c>
      <c r="B216" s="57" t="inlineStr">
        <is>
          <t>stent compression/fracture where relevant</t>
        </is>
      </c>
      <c r="C216" s="57" t="inlineStr">
        <is>
          <t>Core candidate</t>
        </is>
      </c>
      <c r="D216" s="60">
        <f>'Delphi Round 1'!O216</f>
        <v/>
      </c>
      <c r="E216" s="60">
        <f>'Delphi Round 1'!P216</f>
        <v/>
      </c>
      <c r="F216" s="57">
        <f>'Delphi Round 1'!Q216</f>
        <v/>
      </c>
      <c r="G216" s="57">
        <f>'Delphi Round 1'!R216</f>
        <v/>
      </c>
      <c r="H216" s="57" t="inlineStr"/>
      <c r="I216" s="57" t="inlineStr"/>
      <c r="J216" s="57" t="inlineStr"/>
      <c r="K216" s="57" t="inlineStr"/>
      <c r="L216" s="57" t="inlineStr"/>
      <c r="M216" s="57" t="inlineStr"/>
      <c r="N216" s="57" t="inlineStr"/>
      <c r="O216" s="57" t="inlineStr"/>
      <c r="P216" s="57">
        <f>COUNT(H216:O216)</f>
        <v/>
      </c>
      <c r="Q216" s="60">
        <f>IF(P216=0,"",COUNTIF(H216:O216,"&gt;=4")/P216)</f>
        <v/>
      </c>
      <c r="R216" s="60">
        <f>IF(P216=0,"",COUNTIF(H216:O216,"&lt;=2")/P216)</f>
        <v/>
      </c>
      <c r="S216" s="57">
        <f>IF(P216=0,"",MEDIAN(H216:O216))</f>
        <v/>
      </c>
      <c r="T216" s="57">
        <f>IF(G216&lt;&gt;"Round 2",G216,IF(P216=0,"Awaiting Round 2",IF(Q216&gt;=0.8,"Include",IF(R216&gt;=0.8,"Exclude","No consensus"))))</f>
        <v/>
      </c>
      <c r="U216" s="57" t="inlineStr"/>
    </row>
    <row r="217">
      <c r="A217" s="57" t="inlineStr">
        <is>
          <t>Venous stenting</t>
        </is>
      </c>
      <c r="B217" s="57" t="inlineStr">
        <is>
          <t>Stent migration</t>
        </is>
      </c>
      <c r="C217" s="57" t="inlineStr">
        <is>
          <t>Core candidate</t>
        </is>
      </c>
      <c r="D217" s="60">
        <f>'Delphi Round 1'!O217</f>
        <v/>
      </c>
      <c r="E217" s="60">
        <f>'Delphi Round 1'!P217</f>
        <v/>
      </c>
      <c r="F217" s="57">
        <f>'Delphi Round 1'!Q217</f>
        <v/>
      </c>
      <c r="G217" s="57">
        <f>'Delphi Round 1'!R217</f>
        <v/>
      </c>
      <c r="H217" s="57" t="inlineStr"/>
      <c r="I217" s="57" t="inlineStr"/>
      <c r="J217" s="57" t="inlineStr"/>
      <c r="K217" s="57" t="inlineStr"/>
      <c r="L217" s="57" t="inlineStr"/>
      <c r="M217" s="57" t="inlineStr"/>
      <c r="N217" s="57" t="inlineStr"/>
      <c r="O217" s="57" t="inlineStr"/>
      <c r="P217" s="57">
        <f>COUNT(H217:O217)</f>
        <v/>
      </c>
      <c r="Q217" s="60">
        <f>IF(P217=0,"",COUNTIF(H217:O217,"&gt;=4")/P217)</f>
        <v/>
      </c>
      <c r="R217" s="60">
        <f>IF(P217=0,"",COUNTIF(H217:O217,"&lt;=2")/P217)</f>
        <v/>
      </c>
      <c r="S217" s="57">
        <f>IF(P217=0,"",MEDIAN(H217:O217))</f>
        <v/>
      </c>
      <c r="T217" s="57">
        <f>IF(G217&lt;&gt;"Round 2",G217,IF(P217=0,"Awaiting Round 2",IF(Q217&gt;=0.8,"Include",IF(R217&gt;=0.8,"Exclude","No consensus"))))</f>
        <v/>
      </c>
      <c r="U217" s="57" t="inlineStr"/>
    </row>
    <row r="218">
      <c r="A218" s="57" t="inlineStr">
        <is>
          <t>Venous stenting</t>
        </is>
      </c>
      <c r="B218" s="57" t="inlineStr">
        <is>
          <t>serious thromboembolic event</t>
        </is>
      </c>
      <c r="C218" s="57" t="inlineStr">
        <is>
          <t>Core candidate</t>
        </is>
      </c>
      <c r="D218" s="60">
        <f>'Delphi Round 1'!O218</f>
        <v/>
      </c>
      <c r="E218" s="60">
        <f>'Delphi Round 1'!P218</f>
        <v/>
      </c>
      <c r="F218" s="57">
        <f>'Delphi Round 1'!Q218</f>
        <v/>
      </c>
      <c r="G218" s="57">
        <f>'Delphi Round 1'!R218</f>
        <v/>
      </c>
      <c r="H218" s="57" t="inlineStr"/>
      <c r="I218" s="57" t="inlineStr"/>
      <c r="J218" s="57" t="inlineStr"/>
      <c r="K218" s="57" t="inlineStr"/>
      <c r="L218" s="57" t="inlineStr"/>
      <c r="M218" s="57" t="inlineStr"/>
      <c r="N218" s="57" t="inlineStr"/>
      <c r="O218" s="57" t="inlineStr"/>
      <c r="P218" s="57">
        <f>COUNT(H218:O218)</f>
        <v/>
      </c>
      <c r="Q218" s="60">
        <f>IF(P218=0,"",COUNTIF(H218:O218,"&gt;=4")/P218)</f>
        <v/>
      </c>
      <c r="R218" s="60">
        <f>IF(P218=0,"",COUNTIF(H218:O218,"&lt;=2")/P218)</f>
        <v/>
      </c>
      <c r="S218" s="57">
        <f>IF(P218=0,"",MEDIAN(H218:O218))</f>
        <v/>
      </c>
      <c r="T218" s="57">
        <f>IF(G218&lt;&gt;"Round 2",G218,IF(P218=0,"Awaiting Round 2",IF(Q218&gt;=0.8,"Include",IF(R218&gt;=0.8,"Exclude","No consensus"))))</f>
        <v/>
      </c>
      <c r="U218" s="57" t="inlineStr"/>
    </row>
    <row r="219">
      <c r="A219" s="57" t="inlineStr">
        <is>
          <t>Venous stenting</t>
        </is>
      </c>
      <c r="B219" s="57" t="inlineStr">
        <is>
          <t>reintervention</t>
        </is>
      </c>
      <c r="C219" s="57" t="inlineStr">
        <is>
          <t>Core candidate</t>
        </is>
      </c>
      <c r="D219" s="60">
        <f>'Delphi Round 1'!O219</f>
        <v/>
      </c>
      <c r="E219" s="60">
        <f>'Delphi Round 1'!P219</f>
        <v/>
      </c>
      <c r="F219" s="57">
        <f>'Delphi Round 1'!Q219</f>
        <v/>
      </c>
      <c r="G219" s="57">
        <f>'Delphi Round 1'!R219</f>
        <v/>
      </c>
      <c r="H219" s="57" t="inlineStr"/>
      <c r="I219" s="57" t="inlineStr"/>
      <c r="J219" s="57" t="inlineStr"/>
      <c r="K219" s="57" t="inlineStr"/>
      <c r="L219" s="57" t="inlineStr"/>
      <c r="M219" s="57" t="inlineStr"/>
      <c r="N219" s="57" t="inlineStr"/>
      <c r="O219" s="57" t="inlineStr"/>
      <c r="P219" s="57">
        <f>COUNT(H219:O219)</f>
        <v/>
      </c>
      <c r="Q219" s="60">
        <f>IF(P219=0,"",COUNTIF(H219:O219,"&gt;=4")/P219)</f>
        <v/>
      </c>
      <c r="R219" s="60">
        <f>IF(P219=0,"",COUNTIF(H219:O219,"&lt;=2")/P219)</f>
        <v/>
      </c>
      <c r="S219" s="57">
        <f>IF(P219=0,"",MEDIAN(H219:O219))</f>
        <v/>
      </c>
      <c r="T219" s="57">
        <f>IF(G219&lt;&gt;"Round 2",G219,IF(P219=0,"Awaiting Round 2",IF(Q219&gt;=0.8,"Include",IF(R219&gt;=0.8,"Exclude","No consensus"))))</f>
        <v/>
      </c>
      <c r="U219" s="57" t="inlineStr"/>
    </row>
    <row r="220">
      <c r="A220" s="57" t="inlineStr">
        <is>
          <t>Venous stenting</t>
        </is>
      </c>
      <c r="B220" s="57" t="inlineStr">
        <is>
          <t>Venous access bleeding/haematoma</t>
        </is>
      </c>
      <c r="C220" s="57" t="inlineStr">
        <is>
          <t>Core candidate</t>
        </is>
      </c>
      <c r="D220" s="60">
        <f>'Delphi Round 1'!O220</f>
        <v/>
      </c>
      <c r="E220" s="60">
        <f>'Delphi Round 1'!P220</f>
        <v/>
      </c>
      <c r="F220" s="57">
        <f>'Delphi Round 1'!Q220</f>
        <v/>
      </c>
      <c r="G220" s="57">
        <f>'Delphi Round 1'!R220</f>
        <v/>
      </c>
      <c r="H220" s="57" t="inlineStr"/>
      <c r="I220" s="57" t="inlineStr"/>
      <c r="J220" s="57" t="inlineStr"/>
      <c r="K220" s="57" t="inlineStr"/>
      <c r="L220" s="57" t="inlineStr"/>
      <c r="M220" s="57" t="inlineStr"/>
      <c r="N220" s="57" t="inlineStr"/>
      <c r="O220" s="57" t="inlineStr"/>
      <c r="P220" s="57">
        <f>COUNT(H220:O220)</f>
        <v/>
      </c>
      <c r="Q220" s="60">
        <f>IF(P220=0,"",COUNTIF(H220:O220,"&gt;=4")/P220)</f>
        <v/>
      </c>
      <c r="R220" s="60">
        <f>IF(P220=0,"",COUNTIF(H220:O220,"&lt;=2")/P220)</f>
        <v/>
      </c>
      <c r="S220" s="57">
        <f>IF(P220=0,"",MEDIAN(H220:O220))</f>
        <v/>
      </c>
      <c r="T220" s="57">
        <f>IF(G220&lt;&gt;"Round 2",G220,IF(P220=0,"Awaiting Round 2",IF(Q220&gt;=0.8,"Include",IF(R220&gt;=0.8,"Exclude","No consensus"))))</f>
        <v/>
      </c>
      <c r="U220" s="57" t="inlineStr"/>
    </row>
    <row r="221">
      <c r="A221" s="57" t="inlineStr">
        <is>
          <t>Venous stenting</t>
        </is>
      </c>
      <c r="B221" s="57" t="inlineStr">
        <is>
          <t>Contrast reaction/AKI and radiation</t>
        </is>
      </c>
      <c r="C221" s="57" t="inlineStr">
        <is>
          <t>Conditional / patient-specific</t>
        </is>
      </c>
      <c r="D221" s="60">
        <f>'Delphi Round 1'!O221</f>
        <v/>
      </c>
      <c r="E221" s="60">
        <f>'Delphi Round 1'!P221</f>
        <v/>
      </c>
      <c r="F221" s="57">
        <f>'Delphi Round 1'!Q221</f>
        <v/>
      </c>
      <c r="G221" s="57">
        <f>'Delphi Round 1'!R221</f>
        <v/>
      </c>
      <c r="H221" s="57" t="inlineStr"/>
      <c r="I221" s="57" t="inlineStr"/>
      <c r="J221" s="57" t="inlineStr"/>
      <c r="K221" s="57" t="inlineStr"/>
      <c r="L221" s="57" t="inlineStr"/>
      <c r="M221" s="57" t="inlineStr"/>
      <c r="N221" s="57" t="inlineStr"/>
      <c r="O221" s="57" t="inlineStr"/>
      <c r="P221" s="57">
        <f>COUNT(H221:O221)</f>
        <v/>
      </c>
      <c r="Q221" s="60">
        <f>IF(P221=0,"",COUNTIF(H221:O221,"&gt;=4")/P221)</f>
        <v/>
      </c>
      <c r="R221" s="60">
        <f>IF(P221=0,"",COUNTIF(H221:O221,"&lt;=2")/P221)</f>
        <v/>
      </c>
      <c r="S221" s="57">
        <f>IF(P221=0,"",MEDIAN(H221:O221))</f>
        <v/>
      </c>
      <c r="T221" s="57">
        <f>IF(G221&lt;&gt;"Round 2",G221,IF(P221=0,"Awaiting Round 2",IF(Q221&gt;=0.8,"Include",IF(R221&gt;=0.8,"Exclude","No consensus"))))</f>
        <v/>
      </c>
      <c r="U221" s="57" t="inlineStr"/>
    </row>
    <row r="222">
      <c r="A222" s="57" t="inlineStr">
        <is>
          <t>Venous stenting</t>
        </is>
      </c>
      <c r="B222" s="57" t="inlineStr">
        <is>
          <t>antithrombotic-associated bleeding if prescribed</t>
        </is>
      </c>
      <c r="C222" s="57" t="inlineStr">
        <is>
          <t>Conditional / patient-specific</t>
        </is>
      </c>
      <c r="D222" s="60">
        <f>'Delphi Round 1'!O222</f>
        <v/>
      </c>
      <c r="E222" s="60">
        <f>'Delphi Round 1'!P222</f>
        <v/>
      </c>
      <c r="F222" s="57">
        <f>'Delphi Round 1'!Q222</f>
        <v/>
      </c>
      <c r="G222" s="57">
        <f>'Delphi Round 1'!R222</f>
        <v/>
      </c>
      <c r="H222" s="57" t="inlineStr"/>
      <c r="I222" s="57" t="inlineStr"/>
      <c r="J222" s="57" t="inlineStr"/>
      <c r="K222" s="57" t="inlineStr"/>
      <c r="L222" s="57" t="inlineStr"/>
      <c r="M222" s="57" t="inlineStr"/>
      <c r="N222" s="57" t="inlineStr"/>
      <c r="O222" s="57" t="inlineStr"/>
      <c r="P222" s="57">
        <f>COUNT(H222:O222)</f>
        <v/>
      </c>
      <c r="Q222" s="60">
        <f>IF(P222=0,"",COUNTIF(H222:O222,"&gt;=4")/P222)</f>
        <v/>
      </c>
      <c r="R222" s="60">
        <f>IF(P222=0,"",COUNTIF(H222:O222,"&lt;=2")/P222)</f>
        <v/>
      </c>
      <c r="S222" s="57">
        <f>IF(P222=0,"",MEDIAN(H222:O222))</f>
        <v/>
      </c>
      <c r="T222" s="57">
        <f>IF(G222&lt;&gt;"Round 2",G222,IF(P222=0,"Awaiting Round 2",IF(Q222&gt;=0.8,"Include",IF(R222&gt;=0.8,"Exclude","No consensus"))))</f>
        <v/>
      </c>
      <c r="U222" s="57" t="inlineStr"/>
    </row>
    <row r="223">
      <c r="A223" s="57" t="inlineStr">
        <is>
          <t>Venous stenting</t>
        </is>
      </c>
      <c r="B223" s="57" t="inlineStr">
        <is>
          <t>Iliocaval vs other venous bed, acute DVT vs chronic obstruction, thrombectomy, stent design and anticoagulation</t>
        </is>
      </c>
      <c r="C223" s="57" t="inlineStr">
        <is>
          <t>Conditional / patient-specific</t>
        </is>
      </c>
      <c r="D223" s="60">
        <f>'Delphi Round 1'!O223</f>
        <v/>
      </c>
      <c r="E223" s="60">
        <f>'Delphi Round 1'!P223</f>
        <v/>
      </c>
      <c r="F223" s="57">
        <f>'Delphi Round 1'!Q223</f>
        <v/>
      </c>
      <c r="G223" s="57">
        <f>'Delphi Round 1'!R223</f>
        <v/>
      </c>
      <c r="H223" s="57" t="inlineStr"/>
      <c r="I223" s="57" t="inlineStr"/>
      <c r="J223" s="57" t="inlineStr"/>
      <c r="K223" s="57" t="inlineStr"/>
      <c r="L223" s="57" t="inlineStr"/>
      <c r="M223" s="57" t="inlineStr"/>
      <c r="N223" s="57" t="inlineStr"/>
      <c r="O223" s="57" t="inlineStr"/>
      <c r="P223" s="57">
        <f>COUNT(H223:O223)</f>
        <v/>
      </c>
      <c r="Q223" s="60">
        <f>IF(P223=0,"",COUNTIF(H223:O223,"&gt;=4")/P223)</f>
        <v/>
      </c>
      <c r="R223" s="60">
        <f>IF(P223=0,"",COUNTIF(H223:O223,"&lt;=2")/P223)</f>
        <v/>
      </c>
      <c r="S223" s="57">
        <f>IF(P223=0,"",MEDIAN(H223:O223))</f>
        <v/>
      </c>
      <c r="T223" s="57">
        <f>IF(G223&lt;&gt;"Round 2",G223,IF(P223=0,"Awaiting Round 2",IF(Q223&gt;=0.8,"Include",IF(R223&gt;=0.8,"Exclude","No consensus"))))</f>
        <v/>
      </c>
      <c r="U223" s="57" t="inlineStr"/>
    </row>
  </sheetData>
  <autoFilter ref="A1:U223"/>
  <dataValidations count="1">
    <dataValidation sqref="H2:O2 H3:O3 H4:O4 H5:O5 H6:O6 H7:O7 H8:O8 H9:O9 H10:O10 H11:O11 H12:O12 H13:O13 H14:O14 H15:O15 H16:O16 H17:O17 H18:O18 H19:O19 H20:O20 H21:O21 H22:O22 H23:O23 H24:O24 H25:O25 H26:O26 H27:O27 H28:O28 H29:O29 H30:O30 H31:O31 H32:O32 H33:O33 H34:O34 H35:O35 H36:O36 H37:O37 H38:O38 H39:O39 H40:O40 H41:O41 H42:O42 H43:O43 H44:O44 H45:O45 H46:O46 H47:O47 H48:O48 H49:O49 H50:O50 H51:O51 H52:O52 H53:O53 H54:O54 H55:O55 H56:O56 H57:O57 H58:O58 H59:O59 H60:O60 H61:O61 H62:O62 H63:O63 H64:O64 H65:O65 H66:O66 H67:O67 H68:O68 H69:O69 H70:O70 H71:O71 H72:O72 H73:O73 H74:O74 H75:O75 H76:O76 H77:O77 H78:O78 H79:O79 H80:O80 H81:O81 H82:O82 H83:O83 H84:O84 H85:O85 H86:O86 H87:O87 H88:O88 H89:O89 H90:O90 H91:O91 H92:O92 H93:O93 H94:O94 H95:O95 H96:O96 H97:O97 H98:O98 H99:O99 H100:O100 H101:O101 H102:O102 H103:O103 H104:O104 H105:O105 H106:O106 H107:O107 H108:O108 H109:O109 H110:O110 H111:O111 H112:O112 H113:O113 H114:O114 H115:O115 H116:O116 H117:O117 H118:O118 H119:O119 H120:O120 H121:O121 H122:O122 H123:O123 H124:O124 H125:O125 H126:O126 H127:O127 H128:O128 H129:O129 H130:O130 H131:O131 H132:O132 H133:O133 H134:O134 H135:O135 H136:O136 H137:O137 H138:O138 H139:O139 H140:O140 H141:O141 H142:O142 H143:O143 H144:O144 H145:O145 H146:O146 H147:O147 H148:O148 H149:O149 H150:O150 H151:O151 H152:O152 H153:O153 H154:O154 H155:O155 H156:O156 H157:O157 H158:O158 H159:O159 H160:O160 H161:O161 H162:O162 H163:O163 H164:O164 H165:O165 H166:O166 H167:O167 H168:O168 H169:O169 H170:O170 H171:O171 H172:O172 H173:O173 H174:O174 H175:O175 H176:O176 H177:O177 H178:O178 H179:O179 H180:O180 H181:O181 H182:O182 H183:O183 H184:O184 H185:O185 H186:O186 H187:O187 H188:O188 H189:O189 H190:O190 H191:O191 H192:O192 H193:O193 H194:O194 H195:O195 H196:O196 H197:O197 H198:O198 H199:O199 H200:O200 H201:O201 H202:O202 H203:O203 H204:O204 H205:O205 H206:O206 H207:O207 H208:O208 H209:O209 H210:O210 H211:O211 H212:O212 H213:O213 H214:O214 H215:O215 H216:O216 H217:O217 H218:O218 H219:O219 H220:O220 H221:O221 H222:O222 H223:O223" showDropDown="0" showInputMessage="0" showErrorMessage="0" allowBlank="1" type="list">
      <formula1>"1,2,3,4,5"</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23"/>
  <sheetViews>
    <sheetView workbookViewId="0">
      <pane ySplit="1" topLeftCell="A2" activePane="bottomLeft" state="frozen"/>
      <selection pane="bottomLeft" activeCell="A1" sqref="A1"/>
    </sheetView>
  </sheetViews>
  <sheetFormatPr baseColWidth="8" defaultRowHeight="15"/>
  <cols>
    <col width="30" customWidth="1" min="1" max="1"/>
    <col width="55" customWidth="1" min="2" max="2"/>
    <col width="26" customWidth="1" min="3" max="3"/>
    <col width="16" customWidth="1" min="4" max="4"/>
    <col width="16" customWidth="1" min="5" max="5"/>
    <col width="22" customWidth="1" min="6" max="6"/>
    <col width="50" customWidth="1" min="7" max="7"/>
  </cols>
  <sheetData>
    <row r="1">
      <c r="A1" s="58" t="inlineStr">
        <is>
          <t>Procedure</t>
        </is>
      </c>
      <c r="B1" s="58" t="inlineStr">
        <is>
          <t>Candidate risk</t>
        </is>
      </c>
      <c r="C1" s="58" t="inlineStr">
        <is>
          <t>Risk type</t>
        </is>
      </c>
      <c r="D1" s="58" t="inlineStr">
        <is>
          <t>Round 1 status</t>
        </is>
      </c>
      <c r="E1" s="58" t="inlineStr">
        <is>
          <t>Final status</t>
        </is>
      </c>
      <c r="F1" s="58" t="inlineStr">
        <is>
          <t>Routine frequency statement?</t>
        </is>
      </c>
      <c r="G1" s="58" t="inlineStr">
        <is>
          <t>Final wording / comments</t>
        </is>
      </c>
    </row>
    <row r="2">
      <c r="A2" s="57" t="inlineStr">
        <is>
          <t>Bronchial artery embolisation (BAE)</t>
        </is>
      </c>
      <c r="B2" s="57" t="inlineStr">
        <is>
          <t>Chest discomfort and post-embolisation symptoms</t>
        </is>
      </c>
      <c r="C2" s="57" t="inlineStr">
        <is>
          <t>Core candidate</t>
        </is>
      </c>
      <c r="D2" s="57">
        <f>'Delphi Round 1'!R2</f>
        <v/>
      </c>
      <c r="E2" s="57">
        <f>'Delphi Round 2'!T2</f>
        <v/>
      </c>
      <c r="F2" s="57">
        <f>'Delphi Round 1'!S2</f>
        <v/>
      </c>
      <c r="G2" s="57">
        <f>'Delphi Round 2'!U2</f>
        <v/>
      </c>
    </row>
    <row r="3">
      <c r="A3" s="57" t="inlineStr">
        <is>
          <t>Bronchial artery embolisation (BAE)</t>
        </is>
      </c>
      <c r="B3" s="57" t="inlineStr">
        <is>
          <t>technical failure or recurrent haemoptysis</t>
        </is>
      </c>
      <c r="C3" s="57" t="inlineStr">
        <is>
          <t>Core candidate</t>
        </is>
      </c>
      <c r="D3" s="57">
        <f>'Delphi Round 1'!R3</f>
        <v/>
      </c>
      <c r="E3" s="57">
        <f>'Delphi Round 2'!T3</f>
        <v/>
      </c>
      <c r="F3" s="57">
        <f>'Delphi Round 1'!S3</f>
        <v/>
      </c>
      <c r="G3" s="57">
        <f>'Delphi Round 2'!U3</f>
        <v/>
      </c>
    </row>
    <row r="4">
      <c r="A4" s="57" t="inlineStr">
        <is>
          <t>Bronchial artery embolisation (BAE)</t>
        </is>
      </c>
      <c r="B4" s="57" t="inlineStr">
        <is>
          <t>Bronchial ischaemia/infarction</t>
        </is>
      </c>
      <c r="C4" s="57" t="inlineStr">
        <is>
          <t>Core candidate</t>
        </is>
      </c>
      <c r="D4" s="57">
        <f>'Delphi Round 1'!R4</f>
        <v/>
      </c>
      <c r="E4" s="57">
        <f>'Delphi Round 2'!T4</f>
        <v/>
      </c>
      <c r="F4" s="57">
        <f>'Delphi Round 1'!S4</f>
        <v/>
      </c>
      <c r="G4" s="57">
        <f>'Delphi Round 2'!U4</f>
        <v/>
      </c>
    </row>
    <row r="5">
      <c r="A5" s="57" t="inlineStr">
        <is>
          <t>Bronchial artery embolisation (BAE)</t>
        </is>
      </c>
      <c r="B5" s="57" t="inlineStr">
        <is>
          <t>oesophageal ischaemia</t>
        </is>
      </c>
      <c r="C5" s="57" t="inlineStr">
        <is>
          <t>Core candidate</t>
        </is>
      </c>
      <c r="D5" s="57">
        <f>'Delphi Round 1'!R5</f>
        <v/>
      </c>
      <c r="E5" s="57">
        <f>'Delphi Round 2'!T5</f>
        <v/>
      </c>
      <c r="F5" s="57">
        <f>'Delphi Round 1'!S5</f>
        <v/>
      </c>
      <c r="G5" s="57">
        <f>'Delphi Round 2'!U5</f>
        <v/>
      </c>
    </row>
    <row r="6">
      <c r="A6" s="57" t="inlineStr">
        <is>
          <t>Bronchial artery embolisation (BAE)</t>
        </is>
      </c>
      <c r="B6" s="57" t="inlineStr">
        <is>
          <t>Non-target embolisation causing spinal cord infarction/neurological deficit, stroke, myocardial or other systemic infarction</t>
        </is>
      </c>
      <c r="C6" s="57" t="inlineStr">
        <is>
          <t>Core candidate</t>
        </is>
      </c>
      <c r="D6" s="57">
        <f>'Delphi Round 1'!R6</f>
        <v/>
      </c>
      <c r="E6" s="57">
        <f>'Delphi Round 2'!T6</f>
        <v/>
      </c>
      <c r="F6" s="57">
        <f>'Delphi Round 1'!S6</f>
        <v/>
      </c>
      <c r="G6" s="57">
        <f>'Delphi Round 2'!U6</f>
        <v/>
      </c>
    </row>
    <row r="7">
      <c r="A7" s="57" t="inlineStr">
        <is>
          <t>Bronchial artery embolisation (BAE)</t>
        </is>
      </c>
      <c r="B7" s="57" t="inlineStr">
        <is>
          <t>rare oesophago-bronchial fistula</t>
        </is>
      </c>
      <c r="C7" s="57" t="inlineStr">
        <is>
          <t>Core candidate</t>
        </is>
      </c>
      <c r="D7" s="57">
        <f>'Delphi Round 1'!R7</f>
        <v/>
      </c>
      <c r="E7" s="57">
        <f>'Delphi Round 2'!T7</f>
        <v/>
      </c>
      <c r="F7" s="57">
        <f>'Delphi Round 1'!S7</f>
        <v/>
      </c>
      <c r="G7" s="57">
        <f>'Delphi Round 2'!U7</f>
        <v/>
      </c>
    </row>
    <row r="8">
      <c r="A8" s="57" t="inlineStr">
        <is>
          <t>Bronchial artery embolisation (BAE)</t>
        </is>
      </c>
      <c r="B8" s="57" t="inlineStr">
        <is>
          <t>Access bleeding/haematoma</t>
        </is>
      </c>
      <c r="C8" s="57" t="inlineStr">
        <is>
          <t>Core candidate</t>
        </is>
      </c>
      <c r="D8" s="57">
        <f>'Delphi Round 1'!R8</f>
        <v/>
      </c>
      <c r="E8" s="57">
        <f>'Delphi Round 2'!T8</f>
        <v/>
      </c>
      <c r="F8" s="57">
        <f>'Delphi Round 1'!S8</f>
        <v/>
      </c>
      <c r="G8" s="57">
        <f>'Delphi Round 2'!U8</f>
        <v/>
      </c>
    </row>
    <row r="9">
      <c r="A9" s="57" t="inlineStr">
        <is>
          <t>Bronchial artery embolisation (BAE)</t>
        </is>
      </c>
      <c r="B9" s="57" t="inlineStr">
        <is>
          <t>arterial injury</t>
        </is>
      </c>
      <c r="C9" s="57" t="inlineStr">
        <is>
          <t>Core candidate</t>
        </is>
      </c>
      <c r="D9" s="57">
        <f>'Delphi Round 1'!R9</f>
        <v/>
      </c>
      <c r="E9" s="57">
        <f>'Delphi Round 2'!T9</f>
        <v/>
      </c>
      <c r="F9" s="57">
        <f>'Delphi Round 1'!S9</f>
        <v/>
      </c>
      <c r="G9" s="57">
        <f>'Delphi Round 2'!U9</f>
        <v/>
      </c>
    </row>
    <row r="10">
      <c r="A10" s="57" t="inlineStr">
        <is>
          <t>Bronchial artery embolisation (BAE)</t>
        </is>
      </c>
      <c r="B10" s="57" t="inlineStr">
        <is>
          <t>Contrast reaction/AKI and radiation exposure when relevant</t>
        </is>
      </c>
      <c r="C10" s="57" t="inlineStr">
        <is>
          <t>Conditional / patient-specific</t>
        </is>
      </c>
      <c r="D10" s="57">
        <f>'Delphi Round 1'!R10</f>
        <v/>
      </c>
      <c r="E10" s="57">
        <f>'Delphi Round 2'!T10</f>
        <v/>
      </c>
      <c r="F10" s="57">
        <f>'Delphi Round 1'!S10</f>
        <v/>
      </c>
      <c r="G10" s="57">
        <f>'Delphi Round 2'!U10</f>
        <v/>
      </c>
    </row>
    <row r="11">
      <c r="A11" s="57" t="inlineStr">
        <is>
          <t>Bronchial artery embolisation (BAE)</t>
        </is>
      </c>
      <c r="B11" s="57" t="inlineStr">
        <is>
          <t>sedation if used</t>
        </is>
      </c>
      <c r="C11" s="57" t="inlineStr">
        <is>
          <t>Conditional / patient-specific</t>
        </is>
      </c>
      <c r="D11" s="57">
        <f>'Delphi Round 1'!R11</f>
        <v/>
      </c>
      <c r="E11" s="57">
        <f>'Delphi Round 2'!T11</f>
        <v/>
      </c>
      <c r="F11" s="57">
        <f>'Delphi Round 1'!S11</f>
        <v/>
      </c>
      <c r="G11" s="57">
        <f>'Delphi Round 2'!U11</f>
        <v/>
      </c>
    </row>
    <row r="12">
      <c r="A12" s="57" t="inlineStr">
        <is>
          <t>Bronchial artery embolisation (BAE)</t>
        </is>
      </c>
      <c r="B12" s="57" t="inlineStr">
        <is>
          <t>Anatomy, spinal feeders, shunts, embolic particle size, emergency status</t>
        </is>
      </c>
      <c r="C12" s="57" t="inlineStr">
        <is>
          <t>Conditional / patient-specific</t>
        </is>
      </c>
      <c r="D12" s="57">
        <f>'Delphi Round 1'!R12</f>
        <v/>
      </c>
      <c r="E12" s="57">
        <f>'Delphi Round 2'!T12</f>
        <v/>
      </c>
      <c r="F12" s="57">
        <f>'Delphi Round 1'!S12</f>
        <v/>
      </c>
      <c r="G12" s="57">
        <f>'Delphi Round 2'!U12</f>
        <v/>
      </c>
    </row>
    <row r="13">
      <c r="A13" s="57" t="inlineStr">
        <is>
          <t>Carotid artery angioplasty and stenting (CAS)</t>
        </is>
      </c>
      <c r="B13" s="57" t="inlineStr">
        <is>
          <t>Access-site bruising/bleeding</t>
        </is>
      </c>
      <c r="C13" s="57" t="inlineStr">
        <is>
          <t>Core candidate</t>
        </is>
      </c>
      <c r="D13" s="57">
        <f>'Delphi Round 1'!R13</f>
        <v/>
      </c>
      <c r="E13" s="57">
        <f>'Delphi Round 2'!T13</f>
        <v/>
      </c>
      <c r="F13" s="57">
        <f>'Delphi Round 1'!S13</f>
        <v/>
      </c>
      <c r="G13" s="57">
        <f>'Delphi Round 2'!U13</f>
        <v/>
      </c>
    </row>
    <row r="14">
      <c r="A14" s="57" t="inlineStr">
        <is>
          <t>Carotid artery angioplasty and stenting (CAS)</t>
        </is>
      </c>
      <c r="B14" s="57" t="inlineStr">
        <is>
          <t>transient haemodynamic effects</t>
        </is>
      </c>
      <c r="C14" s="57" t="inlineStr">
        <is>
          <t>Core candidate</t>
        </is>
      </c>
      <c r="D14" s="57">
        <f>'Delphi Round 1'!R14</f>
        <v/>
      </c>
      <c r="E14" s="57">
        <f>'Delphi Round 2'!T14</f>
        <v/>
      </c>
      <c r="F14" s="57">
        <f>'Delphi Round 1'!S14</f>
        <v/>
      </c>
      <c r="G14" s="57">
        <f>'Delphi Round 2'!U14</f>
        <v/>
      </c>
    </row>
    <row r="15">
      <c r="A15" s="57" t="inlineStr">
        <is>
          <t>Carotid artery angioplasty and stenting (CAS)</t>
        </is>
      </c>
      <c r="B15" s="57" t="inlineStr">
        <is>
          <t>TIA, stroke, distal embolisation</t>
        </is>
      </c>
      <c r="C15" s="57" t="inlineStr">
        <is>
          <t>Core candidate</t>
        </is>
      </c>
      <c r="D15" s="57">
        <f>'Delphi Round 1'!R15</f>
        <v/>
      </c>
      <c r="E15" s="57">
        <f>'Delphi Round 2'!T15</f>
        <v/>
      </c>
      <c r="F15" s="57">
        <f>'Delphi Round 1'!S15</f>
        <v/>
      </c>
      <c r="G15" s="57">
        <f>'Delphi Round 2'!U15</f>
        <v/>
      </c>
    </row>
    <row r="16">
      <c r="A16" s="57" t="inlineStr">
        <is>
          <t>Carotid artery angioplasty and stenting (CAS)</t>
        </is>
      </c>
      <c r="B16" s="57" t="inlineStr">
        <is>
          <t>bradycardia/hypotension</t>
        </is>
      </c>
      <c r="C16" s="57" t="inlineStr">
        <is>
          <t>Core candidate</t>
        </is>
      </c>
      <c r="D16" s="57">
        <f>'Delphi Round 1'!R16</f>
        <v/>
      </c>
      <c r="E16" s="57">
        <f>'Delphi Round 2'!T16</f>
        <v/>
      </c>
      <c r="F16" s="57">
        <f>'Delphi Round 1'!S16</f>
        <v/>
      </c>
      <c r="G16" s="57">
        <f>'Delphi Round 2'!U16</f>
        <v/>
      </c>
    </row>
    <row r="17">
      <c r="A17" s="57" t="inlineStr">
        <is>
          <t>Carotid artery angioplasty and stenting (CAS)</t>
        </is>
      </c>
      <c r="B17" s="57" t="inlineStr">
        <is>
          <t>Disabling/fatal stroke</t>
        </is>
      </c>
      <c r="C17" s="57" t="inlineStr">
        <is>
          <t>Core candidate</t>
        </is>
      </c>
      <c r="D17" s="57">
        <f>'Delphi Round 1'!R17</f>
        <v/>
      </c>
      <c r="E17" s="57">
        <f>'Delphi Round 2'!T17</f>
        <v/>
      </c>
      <c r="F17" s="57">
        <f>'Delphi Round 1'!S17</f>
        <v/>
      </c>
      <c r="G17" s="57">
        <f>'Delphi Round 2'!U17</f>
        <v/>
      </c>
    </row>
    <row r="18">
      <c r="A18" s="57" t="inlineStr">
        <is>
          <t>Carotid artery angioplasty and stenting (CAS)</t>
        </is>
      </c>
      <c r="B18" s="57" t="inlineStr">
        <is>
          <t>hyperperfusion syndrome/intracranial haemorrhage</t>
        </is>
      </c>
      <c r="C18" s="57" t="inlineStr">
        <is>
          <t>Core candidate</t>
        </is>
      </c>
      <c r="D18" s="57">
        <f>'Delphi Round 1'!R18</f>
        <v/>
      </c>
      <c r="E18" s="57">
        <f>'Delphi Round 2'!T18</f>
        <v/>
      </c>
      <c r="F18" s="57">
        <f>'Delphi Round 1'!S18</f>
        <v/>
      </c>
      <c r="G18" s="57">
        <f>'Delphi Round 2'!U18</f>
        <v/>
      </c>
    </row>
    <row r="19">
      <c r="A19" s="57" t="inlineStr">
        <is>
          <t>Carotid artery angioplasty and stenting (CAS)</t>
        </is>
      </c>
      <c r="B19" s="57" t="inlineStr">
        <is>
          <t>carotid dissection, perforation, rupture or acute occlusion</t>
        </is>
      </c>
      <c r="C19" s="57" t="inlineStr">
        <is>
          <t>Core candidate</t>
        </is>
      </c>
      <c r="D19" s="57">
        <f>'Delphi Round 1'!R19</f>
        <v/>
      </c>
      <c r="E19" s="57">
        <f>'Delphi Round 2'!T19</f>
        <v/>
      </c>
      <c r="F19" s="57">
        <f>'Delphi Round 1'!S19</f>
        <v/>
      </c>
      <c r="G19" s="57">
        <f>'Delphi Round 2'!U19</f>
        <v/>
      </c>
    </row>
    <row r="20">
      <c r="A20" s="57" t="inlineStr">
        <is>
          <t>Carotid artery angioplasty and stenting (CAS)</t>
        </is>
      </c>
      <c r="B20" s="57" t="inlineStr">
        <is>
          <t>Bleeding/haematoma, pseudoaneurysm, arterial injury or occlusion</t>
        </is>
      </c>
      <c r="C20" s="57" t="inlineStr">
        <is>
          <t>Core candidate</t>
        </is>
      </c>
      <c r="D20" s="57">
        <f>'Delphi Round 1'!R20</f>
        <v/>
      </c>
      <c r="E20" s="57">
        <f>'Delphi Round 2'!T20</f>
        <v/>
      </c>
      <c r="F20" s="57">
        <f>'Delphi Round 1'!S20</f>
        <v/>
      </c>
      <c r="G20" s="57">
        <f>'Delphi Round 2'!U20</f>
        <v/>
      </c>
    </row>
    <row r="21">
      <c r="A21" s="57" t="inlineStr">
        <is>
          <t>Carotid artery angioplasty and stenting (CAS)</t>
        </is>
      </c>
      <c r="B21" s="57" t="inlineStr">
        <is>
          <t>Contrast reaction/AKI and radiation exposure</t>
        </is>
      </c>
      <c r="C21" s="57" t="inlineStr">
        <is>
          <t>Conditional / patient-specific</t>
        </is>
      </c>
      <c r="D21" s="57">
        <f>'Delphi Round 1'!R21</f>
        <v/>
      </c>
      <c r="E21" s="57">
        <f>'Delphi Round 2'!T21</f>
        <v/>
      </c>
      <c r="F21" s="57">
        <f>'Delphi Round 1'!S21</f>
        <v/>
      </c>
      <c r="G21" s="57">
        <f>'Delphi Round 2'!U21</f>
        <v/>
      </c>
    </row>
    <row r="22">
      <c r="A22" s="57" t="inlineStr">
        <is>
          <t>Carotid artery angioplasty and stenting (CAS)</t>
        </is>
      </c>
      <c r="B22" s="57" t="inlineStr">
        <is>
          <t>sedation if used</t>
        </is>
      </c>
      <c r="C22" s="57" t="inlineStr">
        <is>
          <t>Conditional / patient-specific</t>
        </is>
      </c>
      <c r="D22" s="57">
        <f>'Delphi Round 1'!R22</f>
        <v/>
      </c>
      <c r="E22" s="57">
        <f>'Delphi Round 2'!T22</f>
        <v/>
      </c>
      <c r="F22" s="57">
        <f>'Delphi Round 1'!S22</f>
        <v/>
      </c>
      <c r="G22" s="57">
        <f>'Delphi Round 2'!U22</f>
        <v/>
      </c>
    </row>
    <row r="23">
      <c r="A23" s="57" t="inlineStr">
        <is>
          <t>Carotid artery angioplasty and stenting (CAS)</t>
        </is>
      </c>
      <c r="B23" s="57" t="inlineStr">
        <is>
          <t>Symptomatic status, access route, anatomy, age, comorbidity, antiplatelet plan</t>
        </is>
      </c>
      <c r="C23" s="57" t="inlineStr">
        <is>
          <t>Conditional / patient-specific</t>
        </is>
      </c>
      <c r="D23" s="57">
        <f>'Delphi Round 1'!R23</f>
        <v/>
      </c>
      <c r="E23" s="57">
        <f>'Delphi Round 2'!T23</f>
        <v/>
      </c>
      <c r="F23" s="57">
        <f>'Delphi Round 1'!S23</f>
        <v/>
      </c>
      <c r="G23" s="57">
        <f>'Delphi Round 2'!U23</f>
        <v/>
      </c>
    </row>
    <row r="24">
      <c r="A24" s="57" t="inlineStr">
        <is>
          <t>Diagnostic angiography</t>
        </is>
      </c>
      <c r="B24" s="57" t="inlineStr">
        <is>
          <t>Access-site pain/bruising/haematoma</t>
        </is>
      </c>
      <c r="C24" s="57" t="inlineStr">
        <is>
          <t>Core candidate</t>
        </is>
      </c>
      <c r="D24" s="57">
        <f>'Delphi Round 1'!R24</f>
        <v/>
      </c>
      <c r="E24" s="57">
        <f>'Delphi Round 2'!T24</f>
        <v/>
      </c>
      <c r="F24" s="57">
        <f>'Delphi Round 1'!S24</f>
        <v/>
      </c>
      <c r="G24" s="57">
        <f>'Delphi Round 2'!U24</f>
        <v/>
      </c>
    </row>
    <row r="25">
      <c r="A25" s="57" t="inlineStr">
        <is>
          <t>Diagnostic angiography</t>
        </is>
      </c>
      <c r="B25" s="57" t="inlineStr">
        <is>
          <t>Arterial injury/dissection, thrombosis/occlusion, distal embolisation, pseudoaneurysm or AV fistula</t>
        </is>
      </c>
      <c r="C25" s="57" t="inlineStr">
        <is>
          <t>Core candidate</t>
        </is>
      </c>
      <c r="D25" s="57">
        <f>'Delphi Round 1'!R25</f>
        <v/>
      </c>
      <c r="E25" s="57">
        <f>'Delphi Round 2'!T25</f>
        <v/>
      </c>
      <c r="F25" s="57">
        <f>'Delphi Round 1'!S25</f>
        <v/>
      </c>
      <c r="G25" s="57">
        <f>'Delphi Round 2'!U25</f>
        <v/>
      </c>
    </row>
    <row r="26">
      <c r="A26" s="57" t="inlineStr">
        <is>
          <t>Diagnostic angiography</t>
        </is>
      </c>
      <c r="B26" s="57" t="inlineStr">
        <is>
          <t>Perforation/rupture</t>
        </is>
      </c>
      <c r="C26" s="57" t="inlineStr">
        <is>
          <t>Core candidate</t>
        </is>
      </c>
      <c r="D26" s="57">
        <f>'Delphi Round 1'!R26</f>
        <v/>
      </c>
      <c r="E26" s="57">
        <f>'Delphi Round 2'!T26</f>
        <v/>
      </c>
      <c r="F26" s="57">
        <f>'Delphi Round 1'!S26</f>
        <v/>
      </c>
      <c r="G26" s="57">
        <f>'Delphi Round 2'!U26</f>
        <v/>
      </c>
    </row>
    <row r="27">
      <c r="A27" s="57" t="inlineStr">
        <is>
          <t>Diagnostic angiography</t>
        </is>
      </c>
      <c r="B27" s="57" t="inlineStr">
        <is>
          <t>territory-specific ischaemic injury</t>
        </is>
      </c>
      <c r="C27" s="57" t="inlineStr">
        <is>
          <t>Core candidate</t>
        </is>
      </c>
      <c r="D27" s="57">
        <f>'Delphi Round 1'!R27</f>
        <v/>
      </c>
      <c r="E27" s="57">
        <f>'Delphi Round 2'!T27</f>
        <v/>
      </c>
      <c r="F27" s="57">
        <f>'Delphi Round 1'!S27</f>
        <v/>
      </c>
      <c r="G27" s="57">
        <f>'Delphi Round 2'!U27</f>
        <v/>
      </c>
    </row>
    <row r="28">
      <c r="A28" s="57" t="inlineStr">
        <is>
          <t>Diagnostic angiography</t>
        </is>
      </c>
      <c r="B28" s="57" t="inlineStr">
        <is>
          <t>stroke only if cerebral/supra-aortic catheterisation or relevant context</t>
        </is>
      </c>
      <c r="C28" s="57" t="inlineStr">
        <is>
          <t>Core candidate</t>
        </is>
      </c>
      <c r="D28" s="57">
        <f>'Delphi Round 1'!R28</f>
        <v/>
      </c>
      <c r="E28" s="57">
        <f>'Delphi Round 2'!T28</f>
        <v/>
      </c>
      <c r="F28" s="57">
        <f>'Delphi Round 1'!S28</f>
        <v/>
      </c>
      <c r="G28" s="57">
        <f>'Delphi Round 2'!U28</f>
        <v/>
      </c>
    </row>
    <row r="29">
      <c r="A29" s="57" t="inlineStr">
        <is>
          <t>Diagnostic angiography</t>
        </is>
      </c>
      <c r="B29" s="57" t="inlineStr">
        <is>
          <t>Bleeding/haematoma, pseudoaneurysm, AV fistula, arterial injury/occlusion</t>
        </is>
      </c>
      <c r="C29" s="57" t="inlineStr">
        <is>
          <t>Core candidate</t>
        </is>
      </c>
      <c r="D29" s="57">
        <f>'Delphi Round 1'!R29</f>
        <v/>
      </c>
      <c r="E29" s="57">
        <f>'Delphi Round 2'!T29</f>
        <v/>
      </c>
      <c r="F29" s="57">
        <f>'Delphi Round 1'!S29</f>
        <v/>
      </c>
      <c r="G29" s="57">
        <f>'Delphi Round 2'!U29</f>
        <v/>
      </c>
    </row>
    <row r="30">
      <c r="A30" s="57" t="inlineStr">
        <is>
          <t>Diagnostic angiography</t>
        </is>
      </c>
      <c r="B30" s="57" t="inlineStr">
        <is>
          <t>Contrast reaction/AKI</t>
        </is>
      </c>
      <c r="C30" s="57" t="inlineStr">
        <is>
          <t>Conditional / patient-specific</t>
        </is>
      </c>
      <c r="D30" s="57">
        <f>'Delphi Round 1'!R30</f>
        <v/>
      </c>
      <c r="E30" s="57">
        <f>'Delphi Round 2'!T30</f>
        <v/>
      </c>
      <c r="F30" s="57">
        <f>'Delphi Round 1'!S30</f>
        <v/>
      </c>
      <c r="G30" s="57">
        <f>'Delphi Round 2'!U30</f>
        <v/>
      </c>
    </row>
    <row r="31">
      <c r="A31" s="57" t="inlineStr">
        <is>
          <t>Diagnostic angiography</t>
        </is>
      </c>
      <c r="B31" s="57" t="inlineStr">
        <is>
          <t>radiation exposure</t>
        </is>
      </c>
      <c r="C31" s="57" t="inlineStr">
        <is>
          <t>Conditional / patient-specific</t>
        </is>
      </c>
      <c r="D31" s="57">
        <f>'Delphi Round 1'!R31</f>
        <v/>
      </c>
      <c r="E31" s="57">
        <f>'Delphi Round 2'!T31</f>
        <v/>
      </c>
      <c r="F31" s="57">
        <f>'Delphi Round 1'!S31</f>
        <v/>
      </c>
      <c r="G31" s="57">
        <f>'Delphi Round 2'!U31</f>
        <v/>
      </c>
    </row>
    <row r="32">
      <c r="A32" s="57" t="inlineStr">
        <is>
          <t>Diagnostic angiography</t>
        </is>
      </c>
      <c r="B32" s="57" t="inlineStr">
        <is>
          <t>sedation if used</t>
        </is>
      </c>
      <c r="C32" s="57" t="inlineStr">
        <is>
          <t>Conditional / patient-specific</t>
        </is>
      </c>
      <c r="D32" s="57">
        <f>'Delphi Round 1'!R32</f>
        <v/>
      </c>
      <c r="E32" s="57">
        <f>'Delphi Round 2'!T32</f>
        <v/>
      </c>
      <c r="F32" s="57">
        <f>'Delphi Round 1'!S32</f>
        <v/>
      </c>
      <c r="G32" s="57">
        <f>'Delphi Round 2'!U32</f>
        <v/>
      </c>
    </row>
    <row r="33">
      <c r="A33" s="57" t="inlineStr">
        <is>
          <t>Diagnostic angiography</t>
        </is>
      </c>
      <c r="B33" s="57" t="inlineStr">
        <is>
          <t>Vascular bed, sheath/access site, selective catheterisation, renal function and prior contrast reaction</t>
        </is>
      </c>
      <c r="C33" s="57" t="inlineStr">
        <is>
          <t>Conditional / patient-specific</t>
        </is>
      </c>
      <c r="D33" s="57">
        <f>'Delphi Round 1'!R33</f>
        <v/>
      </c>
      <c r="E33" s="57">
        <f>'Delphi Round 2'!T33</f>
        <v/>
      </c>
      <c r="F33" s="57">
        <f>'Delphi Round 1'!S33</f>
        <v/>
      </c>
      <c r="G33" s="57">
        <f>'Delphi Round 2'!U33</f>
        <v/>
      </c>
    </row>
    <row r="34">
      <c r="A34" s="57" t="inlineStr">
        <is>
          <t>Endovascular aneurysm repair (EVAR)</t>
        </is>
      </c>
      <c r="B34" s="57" t="inlineStr">
        <is>
          <t>Access-site bruising/bleeding</t>
        </is>
      </c>
      <c r="C34" s="57" t="inlineStr">
        <is>
          <t>Core candidate</t>
        </is>
      </c>
      <c r="D34" s="57">
        <f>'Delphi Round 1'!R34</f>
        <v/>
      </c>
      <c r="E34" s="57">
        <f>'Delphi Round 2'!T34</f>
        <v/>
      </c>
      <c r="F34" s="57">
        <f>'Delphi Round 1'!S34</f>
        <v/>
      </c>
      <c r="G34" s="57">
        <f>'Delphi Round 2'!U34</f>
        <v/>
      </c>
    </row>
    <row r="35">
      <c r="A35" s="57" t="inlineStr">
        <is>
          <t>Endovascular aneurysm repair (EVAR)</t>
        </is>
      </c>
      <c r="B35" s="57" t="inlineStr">
        <is>
          <t>possible technical failure or further treatment</t>
        </is>
      </c>
      <c r="C35" s="57" t="inlineStr">
        <is>
          <t>Core candidate</t>
        </is>
      </c>
      <c r="D35" s="57">
        <f>'Delphi Round 1'!R35</f>
        <v/>
      </c>
      <c r="E35" s="57">
        <f>'Delphi Round 2'!T35</f>
        <v/>
      </c>
      <c r="F35" s="57">
        <f>'Delphi Round 1'!S35</f>
        <v/>
      </c>
      <c r="G35" s="57">
        <f>'Delphi Round 2'!U35</f>
        <v/>
      </c>
    </row>
    <row r="36">
      <c r="A36" s="57" t="inlineStr">
        <is>
          <t>Endovascular aneurysm repair (EVAR)</t>
        </is>
      </c>
      <c r="B36" s="57" t="inlineStr">
        <is>
          <t>Endoleak, endograft limb thrombosis/occlusion, migration/kinking, renal or limb ischaemia</t>
        </is>
      </c>
      <c r="C36" s="57" t="inlineStr">
        <is>
          <t>Core candidate</t>
        </is>
      </c>
      <c r="D36" s="57">
        <f>'Delphi Round 1'!R36</f>
        <v/>
      </c>
      <c r="E36" s="57">
        <f>'Delphi Round 2'!T36</f>
        <v/>
      </c>
      <c r="F36" s="57">
        <f>'Delphi Round 1'!S36</f>
        <v/>
      </c>
      <c r="G36" s="57">
        <f>'Delphi Round 2'!U36</f>
        <v/>
      </c>
    </row>
    <row r="37">
      <c r="A37" s="57" t="inlineStr">
        <is>
          <t>Endovascular aneurysm repair (EVAR)</t>
        </is>
      </c>
      <c r="B37" s="57" t="inlineStr">
        <is>
          <t>Aneurysm enlargement/rupture</t>
        </is>
      </c>
      <c r="C37" s="57" t="inlineStr">
        <is>
          <t>Core candidate</t>
        </is>
      </c>
      <c r="D37" s="57">
        <f>'Delphi Round 1'!R37</f>
        <v/>
      </c>
      <c r="E37" s="57">
        <f>'Delphi Round 2'!T37</f>
        <v/>
      </c>
      <c r="F37" s="57">
        <f>'Delphi Round 1'!S37</f>
        <v/>
      </c>
      <c r="G37" s="57">
        <f>'Delphi Round 2'!U37</f>
        <v/>
      </c>
    </row>
    <row r="38">
      <c r="A38" s="57" t="inlineStr">
        <is>
          <t>Endovascular aneurysm repair (EVAR)</t>
        </is>
      </c>
      <c r="B38" s="57" t="inlineStr">
        <is>
          <t>graft infection/failure</t>
        </is>
      </c>
      <c r="C38" s="57" t="inlineStr">
        <is>
          <t>Core candidate</t>
        </is>
      </c>
      <c r="D38" s="57">
        <f>'Delphi Round 1'!R38</f>
        <v/>
      </c>
      <c r="E38" s="57">
        <f>'Delphi Round 2'!T38</f>
        <v/>
      </c>
      <c r="F38" s="57">
        <f>'Delphi Round 1'!S38</f>
        <v/>
      </c>
      <c r="G38" s="57">
        <f>'Delphi Round 2'!U38</f>
        <v/>
      </c>
    </row>
    <row r="39">
      <c r="A39" s="57" t="inlineStr">
        <is>
          <t>Endovascular aneurysm repair (EVAR)</t>
        </is>
      </c>
      <c r="B39" s="57" t="inlineStr">
        <is>
          <t>bowel/pelvic/spinal ischaemia</t>
        </is>
      </c>
      <c r="C39" s="57" t="inlineStr">
        <is>
          <t>Core candidate</t>
        </is>
      </c>
      <c r="D39" s="57">
        <f>'Delphi Round 1'!R39</f>
        <v/>
      </c>
      <c r="E39" s="57">
        <f>'Delphi Round 2'!T39</f>
        <v/>
      </c>
      <c r="F39" s="57">
        <f>'Delphi Round 1'!S39</f>
        <v/>
      </c>
      <c r="G39" s="57">
        <f>'Delphi Round 2'!U39</f>
        <v/>
      </c>
    </row>
    <row r="40">
      <c r="A40" s="57" t="inlineStr">
        <is>
          <t>Endovascular aneurysm repair (EVAR)</t>
        </is>
      </c>
      <c r="B40" s="57" t="inlineStr">
        <is>
          <t>conversion, reintervention or death</t>
        </is>
      </c>
      <c r="C40" s="57" t="inlineStr">
        <is>
          <t>Core candidate</t>
        </is>
      </c>
      <c r="D40" s="57">
        <f>'Delphi Round 1'!R40</f>
        <v/>
      </c>
      <c r="E40" s="57">
        <f>'Delphi Round 2'!T40</f>
        <v/>
      </c>
      <c r="F40" s="57">
        <f>'Delphi Round 1'!S40</f>
        <v/>
      </c>
      <c r="G40" s="57">
        <f>'Delphi Round 2'!U40</f>
        <v/>
      </c>
    </row>
    <row r="41">
      <c r="A41" s="57" t="inlineStr">
        <is>
          <t>Endovascular aneurysm repair (EVAR)</t>
        </is>
      </c>
      <c r="B41" s="57" t="inlineStr">
        <is>
          <t>Iliac/femoral injury, dissection, rupture, bleeding or limb ischaemia</t>
        </is>
      </c>
      <c r="C41" s="57" t="inlineStr">
        <is>
          <t>Core candidate</t>
        </is>
      </c>
      <c r="D41" s="57">
        <f>'Delphi Round 1'!R41</f>
        <v/>
      </c>
      <c r="E41" s="57">
        <f>'Delphi Round 2'!T41</f>
        <v/>
      </c>
      <c r="F41" s="57">
        <f>'Delphi Round 1'!S41</f>
        <v/>
      </c>
      <c r="G41" s="57">
        <f>'Delphi Round 2'!U41</f>
        <v/>
      </c>
    </row>
    <row r="42">
      <c r="A42" s="57" t="inlineStr">
        <is>
          <t>Endovascular aneurysm repair (EVAR)</t>
        </is>
      </c>
      <c r="B42" s="57" t="inlineStr">
        <is>
          <t>Contrast reaction/AKI and radiation exposure</t>
        </is>
      </c>
      <c r="C42" s="57" t="inlineStr">
        <is>
          <t>Conditional / patient-specific</t>
        </is>
      </c>
      <c r="D42" s="57">
        <f>'Delphi Round 1'!R42</f>
        <v/>
      </c>
      <c r="E42" s="57">
        <f>'Delphi Round 2'!T42</f>
        <v/>
      </c>
      <c r="F42" s="57">
        <f>'Delphi Round 1'!S42</f>
        <v/>
      </c>
      <c r="G42" s="57">
        <f>'Delphi Round 2'!U42</f>
        <v/>
      </c>
    </row>
    <row r="43">
      <c r="A43" s="57" t="inlineStr">
        <is>
          <t>Endovascular aneurysm repair (EVAR)</t>
        </is>
      </c>
      <c r="B43" s="57" t="inlineStr">
        <is>
          <t>Aneurysm anatomy, device/landing zones, complex repair, access vessels, coverage and patient risk</t>
        </is>
      </c>
      <c r="C43" s="57" t="inlineStr">
        <is>
          <t>Conditional / patient-specific</t>
        </is>
      </c>
      <c r="D43" s="57">
        <f>'Delphi Round 1'!R43</f>
        <v/>
      </c>
      <c r="E43" s="57">
        <f>'Delphi Round 2'!T43</f>
        <v/>
      </c>
      <c r="F43" s="57">
        <f>'Delphi Round 1'!S43</f>
        <v/>
      </c>
      <c r="G43" s="57">
        <f>'Delphi Round 2'!U43</f>
        <v/>
      </c>
    </row>
    <row r="44">
      <c r="A44" s="57" t="inlineStr">
        <is>
          <t>Gastrointestinal bleeding embolisation</t>
        </is>
      </c>
      <c r="B44" s="57" t="inlineStr">
        <is>
          <t>Persistent/recurrent bleeding</t>
        </is>
      </c>
      <c r="C44" s="57" t="inlineStr">
        <is>
          <t>Core candidate</t>
        </is>
      </c>
      <c r="D44" s="57">
        <f>'Delphi Round 1'!R44</f>
        <v/>
      </c>
      <c r="E44" s="57">
        <f>'Delphi Round 2'!T44</f>
        <v/>
      </c>
      <c r="F44" s="57">
        <f>'Delphi Round 1'!S44</f>
        <v/>
      </c>
      <c r="G44" s="57">
        <f>'Delphi Round 2'!U44</f>
        <v/>
      </c>
    </row>
    <row r="45">
      <c r="A45" s="57" t="inlineStr">
        <is>
          <t>Gastrointestinal bleeding embolisation</t>
        </is>
      </c>
      <c r="B45" s="57" t="inlineStr">
        <is>
          <t>access bruising/bleeding</t>
        </is>
      </c>
      <c r="C45" s="57" t="inlineStr">
        <is>
          <t>Core candidate</t>
        </is>
      </c>
      <c r="D45" s="57">
        <f>'Delphi Round 1'!R45</f>
        <v/>
      </c>
      <c r="E45" s="57">
        <f>'Delphi Round 2'!T45</f>
        <v/>
      </c>
      <c r="F45" s="57">
        <f>'Delphi Round 1'!S45</f>
        <v/>
      </c>
      <c r="G45" s="57">
        <f>'Delphi Round 2'!U45</f>
        <v/>
      </c>
    </row>
    <row r="46">
      <c r="A46" s="57" t="inlineStr">
        <is>
          <t>Gastrointestinal bleeding embolisation</t>
        </is>
      </c>
      <c r="B46" s="57" t="inlineStr">
        <is>
          <t>Repeat embolisation, endoscopy or surgery</t>
        </is>
      </c>
      <c r="C46" s="57" t="inlineStr">
        <is>
          <t>Core candidate</t>
        </is>
      </c>
      <c r="D46" s="57">
        <f>'Delphi Round 1'!R46</f>
        <v/>
      </c>
      <c r="E46" s="57">
        <f>'Delphi Round 2'!T46</f>
        <v/>
      </c>
      <c r="F46" s="57">
        <f>'Delphi Round 1'!S46</f>
        <v/>
      </c>
      <c r="G46" s="57">
        <f>'Delphi Round 2'!U46</f>
        <v/>
      </c>
    </row>
    <row r="47">
      <c r="A47" s="57" t="inlineStr">
        <is>
          <t>Gastrointestinal bleeding embolisation</t>
        </is>
      </c>
      <c r="B47" s="57" t="inlineStr">
        <is>
          <t>bowel ischaemia</t>
        </is>
      </c>
      <c r="C47" s="57" t="inlineStr">
        <is>
          <t>Core candidate</t>
        </is>
      </c>
      <c r="D47" s="57">
        <f>'Delphi Round 1'!R47</f>
        <v/>
      </c>
      <c r="E47" s="57">
        <f>'Delphi Round 2'!T47</f>
        <v/>
      </c>
      <c r="F47" s="57">
        <f>'Delphi Round 1'!S47</f>
        <v/>
      </c>
      <c r="G47" s="57">
        <f>'Delphi Round 2'!U47</f>
        <v/>
      </c>
    </row>
    <row r="48">
      <c r="A48" s="57" t="inlineStr">
        <is>
          <t>Gastrointestinal bleeding embolisation</t>
        </is>
      </c>
      <c r="B48" s="57" t="inlineStr">
        <is>
          <t>Bowel infarction/necrosis, perforation or later stricture due to non-target or extensive embolisation</t>
        </is>
      </c>
      <c r="C48" s="57" t="inlineStr">
        <is>
          <t>Core candidate</t>
        </is>
      </c>
      <c r="D48" s="57">
        <f>'Delphi Round 1'!R48</f>
        <v/>
      </c>
      <c r="E48" s="57">
        <f>'Delphi Round 2'!T48</f>
        <v/>
      </c>
      <c r="F48" s="57">
        <f>'Delphi Round 1'!S48</f>
        <v/>
      </c>
      <c r="G48" s="57">
        <f>'Delphi Round 2'!U48</f>
        <v/>
      </c>
    </row>
    <row r="49">
      <c r="A49" s="57" t="inlineStr">
        <is>
          <t>Gastrointestinal bleeding embolisation</t>
        </is>
      </c>
      <c r="B49" s="57" t="inlineStr">
        <is>
          <t>Arterial access bleeding/haematoma</t>
        </is>
      </c>
      <c r="C49" s="57" t="inlineStr">
        <is>
          <t>Core candidate</t>
        </is>
      </c>
      <c r="D49" s="57">
        <f>'Delphi Round 1'!R49</f>
        <v/>
      </c>
      <c r="E49" s="57">
        <f>'Delphi Round 2'!T49</f>
        <v/>
      </c>
      <c r="F49" s="57">
        <f>'Delphi Round 1'!S49</f>
        <v/>
      </c>
      <c r="G49" s="57">
        <f>'Delphi Round 2'!U49</f>
        <v/>
      </c>
    </row>
    <row r="50">
      <c r="A50" s="57" t="inlineStr">
        <is>
          <t>Gastrointestinal bleeding embolisation</t>
        </is>
      </c>
      <c r="B50" s="57" t="inlineStr">
        <is>
          <t>vessel injury</t>
        </is>
      </c>
      <c r="C50" s="57" t="inlineStr">
        <is>
          <t>Core candidate</t>
        </is>
      </c>
      <c r="D50" s="57">
        <f>'Delphi Round 1'!R50</f>
        <v/>
      </c>
      <c r="E50" s="57">
        <f>'Delphi Round 2'!T50</f>
        <v/>
      </c>
      <c r="F50" s="57">
        <f>'Delphi Round 1'!S50</f>
        <v/>
      </c>
      <c r="G50" s="57">
        <f>'Delphi Round 2'!U50</f>
        <v/>
      </c>
    </row>
    <row r="51">
      <c r="A51" s="57" t="inlineStr">
        <is>
          <t>Gastrointestinal bleeding embolisation</t>
        </is>
      </c>
      <c r="B51" s="57" t="inlineStr">
        <is>
          <t>Contrast reaction/AKI</t>
        </is>
      </c>
      <c r="C51" s="57" t="inlineStr">
        <is>
          <t>Conditional / patient-specific</t>
        </is>
      </c>
      <c r="D51" s="57">
        <f>'Delphi Round 1'!R51</f>
        <v/>
      </c>
      <c r="E51" s="57">
        <f>'Delphi Round 2'!T51</f>
        <v/>
      </c>
      <c r="F51" s="57">
        <f>'Delphi Round 1'!S51</f>
        <v/>
      </c>
      <c r="G51" s="57">
        <f>'Delphi Round 2'!U51</f>
        <v/>
      </c>
    </row>
    <row r="52">
      <c r="A52" s="57" t="inlineStr">
        <is>
          <t>Gastrointestinal bleeding embolisation</t>
        </is>
      </c>
      <c r="B52" s="57" t="inlineStr">
        <is>
          <t>radiation exposure</t>
        </is>
      </c>
      <c r="C52" s="57" t="inlineStr">
        <is>
          <t>Conditional / patient-specific</t>
        </is>
      </c>
      <c r="D52" s="57">
        <f>'Delphi Round 1'!R52</f>
        <v/>
      </c>
      <c r="E52" s="57">
        <f>'Delphi Round 2'!T52</f>
        <v/>
      </c>
      <c r="F52" s="57">
        <f>'Delphi Round 1'!S52</f>
        <v/>
      </c>
      <c r="G52" s="57">
        <f>'Delphi Round 2'!U52</f>
        <v/>
      </c>
    </row>
    <row r="53">
      <c r="A53" s="57" t="inlineStr">
        <is>
          <t>Gastrointestinal bleeding embolisation</t>
        </is>
      </c>
      <c r="B53" s="57" t="inlineStr">
        <is>
          <t>Bowel territory, collateral supply, prior surgery/radiotherapy and embolic technique</t>
        </is>
      </c>
      <c r="C53" s="57" t="inlineStr">
        <is>
          <t>Conditional / patient-specific</t>
        </is>
      </c>
      <c r="D53" s="57">
        <f>'Delphi Round 1'!R53</f>
        <v/>
      </c>
      <c r="E53" s="57">
        <f>'Delphi Round 2'!T53</f>
        <v/>
      </c>
      <c r="F53" s="57">
        <f>'Delphi Round 1'!S53</f>
        <v/>
      </c>
      <c r="G53" s="57">
        <f>'Delphi Round 2'!U53</f>
        <v/>
      </c>
    </row>
    <row r="54">
      <c r="A54" s="57" t="inlineStr">
        <is>
          <t>Pelvic congestion / pelvic vein embolisation</t>
        </is>
      </c>
      <c r="B54" s="57" t="inlineStr">
        <is>
          <t>Pelvic/back pain or post-procedure thrombophlebitic symptoms</t>
        </is>
      </c>
      <c r="C54" s="57" t="inlineStr">
        <is>
          <t>Core candidate</t>
        </is>
      </c>
      <c r="D54" s="57">
        <f>'Delphi Round 1'!R54</f>
        <v/>
      </c>
      <c r="E54" s="57">
        <f>'Delphi Round 2'!T54</f>
        <v/>
      </c>
      <c r="F54" s="57">
        <f>'Delphi Round 1'!S54</f>
        <v/>
      </c>
      <c r="G54" s="57">
        <f>'Delphi Round 2'!U54</f>
        <v/>
      </c>
    </row>
    <row r="55">
      <c r="A55" s="57" t="inlineStr">
        <is>
          <t>Pelvic congestion / pelvic vein embolisation</t>
        </is>
      </c>
      <c r="B55" s="57" t="inlineStr">
        <is>
          <t>persistent/recurrent symptoms</t>
        </is>
      </c>
      <c r="C55" s="57" t="inlineStr">
        <is>
          <t>Core candidate</t>
        </is>
      </c>
      <c r="D55" s="57">
        <f>'Delphi Round 1'!R55</f>
        <v/>
      </c>
      <c r="E55" s="57">
        <f>'Delphi Round 2'!T55</f>
        <v/>
      </c>
      <c r="F55" s="57">
        <f>'Delphi Round 1'!S55</f>
        <v/>
      </c>
      <c r="G55" s="57">
        <f>'Delphi Round 2'!U55</f>
        <v/>
      </c>
    </row>
    <row r="56">
      <c r="A56" s="57" t="inlineStr">
        <is>
          <t>Pelvic congestion / pelvic vein embolisation</t>
        </is>
      </c>
      <c r="B56" s="57" t="inlineStr">
        <is>
          <t>Venous injury/perforation</t>
        </is>
      </c>
      <c r="C56" s="57" t="inlineStr">
        <is>
          <t>Core candidate</t>
        </is>
      </c>
      <c r="D56" s="57">
        <f>'Delphi Round 1'!R56</f>
        <v/>
      </c>
      <c r="E56" s="57">
        <f>'Delphi Round 2'!T56</f>
        <v/>
      </c>
      <c r="F56" s="57">
        <f>'Delphi Round 1'!S56</f>
        <v/>
      </c>
      <c r="G56" s="57">
        <f>'Delphi Round 2'!U56</f>
        <v/>
      </c>
    </row>
    <row r="57">
      <c r="A57" s="57" t="inlineStr">
        <is>
          <t>Pelvic congestion / pelvic vein embolisation</t>
        </is>
      </c>
      <c r="B57" s="57" t="inlineStr">
        <is>
          <t>non-target embolisation</t>
        </is>
      </c>
      <c r="C57" s="57" t="inlineStr">
        <is>
          <t>Core candidate</t>
        </is>
      </c>
      <c r="D57" s="57">
        <f>'Delphi Round 1'!R57</f>
        <v/>
      </c>
      <c r="E57" s="57">
        <f>'Delphi Round 2'!T57</f>
        <v/>
      </c>
      <c r="F57" s="57">
        <f>'Delphi Round 1'!S57</f>
        <v/>
      </c>
      <c r="G57" s="57">
        <f>'Delphi Round 2'!U57</f>
        <v/>
      </c>
    </row>
    <row r="58">
      <c r="A58" s="57" t="inlineStr">
        <is>
          <t>Pelvic congestion / pelvic vein embolisation</t>
        </is>
      </c>
      <c r="B58" s="57" t="inlineStr">
        <is>
          <t>repeat treatment</t>
        </is>
      </c>
      <c r="C58" s="57" t="inlineStr">
        <is>
          <t>Core candidate</t>
        </is>
      </c>
      <c r="D58" s="57">
        <f>'Delphi Round 1'!R58</f>
        <v/>
      </c>
      <c r="E58" s="57">
        <f>'Delphi Round 2'!T58</f>
        <v/>
      </c>
      <c r="F58" s="57">
        <f>'Delphi Round 1'!S58</f>
        <v/>
      </c>
      <c r="G58" s="57">
        <f>'Delphi Round 2'!U58</f>
        <v/>
      </c>
    </row>
    <row r="59">
      <c r="A59" s="57" t="inlineStr">
        <is>
          <t>Pelvic congestion / pelvic vein embolisation</t>
        </is>
      </c>
      <c r="B59" s="57" t="inlineStr">
        <is>
          <t>Coil/plug/liquid-agent migration, potentially pulmonary</t>
        </is>
      </c>
      <c r="C59" s="57" t="inlineStr">
        <is>
          <t>Core candidate</t>
        </is>
      </c>
      <c r="D59" s="57">
        <f>'Delphi Round 1'!R59</f>
        <v/>
      </c>
      <c r="E59" s="57">
        <f>'Delphi Round 2'!T59</f>
        <v/>
      </c>
      <c r="F59" s="57">
        <f>'Delphi Round 1'!S59</f>
        <v/>
      </c>
      <c r="G59" s="57">
        <f>'Delphi Round 2'!U59</f>
        <v/>
      </c>
    </row>
    <row r="60">
      <c r="A60" s="57" t="inlineStr">
        <is>
          <t>Pelvic congestion / pelvic vein embolisation</t>
        </is>
      </c>
      <c r="B60" s="57" t="inlineStr">
        <is>
          <t>severe non-target embolisation</t>
        </is>
      </c>
      <c r="C60" s="57" t="inlineStr">
        <is>
          <t>Core candidate</t>
        </is>
      </c>
      <c r="D60" s="57">
        <f>'Delphi Round 1'!R60</f>
        <v/>
      </c>
      <c r="E60" s="57">
        <f>'Delphi Round 2'!T60</f>
        <v/>
      </c>
      <c r="F60" s="57">
        <f>'Delphi Round 1'!S60</f>
        <v/>
      </c>
      <c r="G60" s="57">
        <f>'Delphi Round 2'!U60</f>
        <v/>
      </c>
    </row>
    <row r="61">
      <c r="A61" s="57" t="inlineStr">
        <is>
          <t>Pelvic congestion / pelvic vein embolisation</t>
        </is>
      </c>
      <c r="B61" s="57" t="inlineStr">
        <is>
          <t>Venous access bleeding/haematoma</t>
        </is>
      </c>
      <c r="C61" s="57" t="inlineStr">
        <is>
          <t>Core candidate</t>
        </is>
      </c>
      <c r="D61" s="57">
        <f>'Delphi Round 1'!R61</f>
        <v/>
      </c>
      <c r="E61" s="57">
        <f>'Delphi Round 2'!T61</f>
        <v/>
      </c>
      <c r="F61" s="57">
        <f>'Delphi Round 1'!S61</f>
        <v/>
      </c>
      <c r="G61" s="57">
        <f>'Delphi Round 2'!U61</f>
        <v/>
      </c>
    </row>
    <row r="62">
      <c r="A62" s="57" t="inlineStr">
        <is>
          <t>Pelvic congestion / pelvic vein embolisation</t>
        </is>
      </c>
      <c r="B62" s="57" t="inlineStr">
        <is>
          <t>Contrast reaction/AKI and radiation</t>
        </is>
      </c>
      <c r="C62" s="57" t="inlineStr">
        <is>
          <t>Conditional / patient-specific</t>
        </is>
      </c>
      <c r="D62" s="57">
        <f>'Delphi Round 1'!R62</f>
        <v/>
      </c>
      <c r="E62" s="57">
        <f>'Delphi Round 2'!T62</f>
        <v/>
      </c>
      <c r="F62" s="57">
        <f>'Delphi Round 1'!S62</f>
        <v/>
      </c>
      <c r="G62" s="57">
        <f>'Delphi Round 2'!U62</f>
        <v/>
      </c>
    </row>
    <row r="63">
      <c r="A63" s="57" t="inlineStr">
        <is>
          <t>Pelvic congestion / pelvic vein embolisation</t>
        </is>
      </c>
      <c r="B63" s="57" t="inlineStr">
        <is>
          <t>sedation if used</t>
        </is>
      </c>
      <c r="C63" s="57" t="inlineStr">
        <is>
          <t>Conditional / patient-specific</t>
        </is>
      </c>
      <c r="D63" s="57">
        <f>'Delphi Round 1'!R63</f>
        <v/>
      </c>
      <c r="E63" s="57">
        <f>'Delphi Round 2'!T63</f>
        <v/>
      </c>
      <c r="F63" s="57">
        <f>'Delphi Round 1'!S63</f>
        <v/>
      </c>
      <c r="G63" s="57">
        <f>'Delphi Round 2'!U63</f>
        <v/>
      </c>
    </row>
    <row r="64">
      <c r="A64" s="57" t="inlineStr">
        <is>
          <t>Pelvic congestion / pelvic vein embolisation</t>
        </is>
      </c>
      <c r="B64" s="57" t="inlineStr">
        <is>
          <t>Access route, embolic material/device, anatomy, pregnancy/fertility context</t>
        </is>
      </c>
      <c r="C64" s="57" t="inlineStr">
        <is>
          <t>Conditional / patient-specific</t>
        </is>
      </c>
      <c r="D64" s="57">
        <f>'Delphi Round 1'!R64</f>
        <v/>
      </c>
      <c r="E64" s="57">
        <f>'Delphi Round 2'!T64</f>
        <v/>
      </c>
      <c r="F64" s="57">
        <f>'Delphi Round 1'!S64</f>
        <v/>
      </c>
      <c r="G64" s="57">
        <f>'Delphi Round 2'!U64</f>
        <v/>
      </c>
    </row>
    <row r="65">
      <c r="A65" s="57" t="inlineStr">
        <is>
          <t>Percutaneous gastrostomy insertion</t>
        </is>
      </c>
      <c r="B65" s="57" t="inlineStr">
        <is>
          <t>Pain</t>
        </is>
      </c>
      <c r="C65" s="57" t="inlineStr">
        <is>
          <t>Core candidate</t>
        </is>
      </c>
      <c r="D65" s="57">
        <f>'Delphi Round 1'!R65</f>
        <v/>
      </c>
      <c r="E65" s="57">
        <f>'Delphi Round 2'!T65</f>
        <v/>
      </c>
      <c r="F65" s="57">
        <f>'Delphi Round 1'!S65</f>
        <v/>
      </c>
      <c r="G65" s="57">
        <f>'Delphi Round 2'!U65</f>
        <v/>
      </c>
    </row>
    <row r="66">
      <c r="A66" s="57" t="inlineStr">
        <is>
          <t>Percutaneous gastrostomy insertion</t>
        </is>
      </c>
      <c r="B66" s="57" t="inlineStr">
        <is>
          <t>peristomal infection</t>
        </is>
      </c>
      <c r="C66" s="57" t="inlineStr">
        <is>
          <t>Core candidate</t>
        </is>
      </c>
      <c r="D66" s="57">
        <f>'Delphi Round 1'!R66</f>
        <v/>
      </c>
      <c r="E66" s="57">
        <f>'Delphi Round 2'!T66</f>
        <v/>
      </c>
      <c r="F66" s="57">
        <f>'Delphi Round 1'!S66</f>
        <v/>
      </c>
      <c r="G66" s="57">
        <f>'Delphi Round 2'!U66</f>
        <v/>
      </c>
    </row>
    <row r="67">
      <c r="A67" s="57" t="inlineStr">
        <is>
          <t>Percutaneous gastrostomy insertion</t>
        </is>
      </c>
      <c r="B67" s="57" t="inlineStr">
        <is>
          <t>tube leak/dislodgement/blockage</t>
        </is>
      </c>
      <c r="C67" s="57" t="inlineStr">
        <is>
          <t>Core candidate</t>
        </is>
      </c>
      <c r="D67" s="57">
        <f>'Delphi Round 1'!R67</f>
        <v/>
      </c>
      <c r="E67" s="57">
        <f>'Delphi Round 2'!T67</f>
        <v/>
      </c>
      <c r="F67" s="57">
        <f>'Delphi Round 1'!S67</f>
        <v/>
      </c>
      <c r="G67" s="57">
        <f>'Delphi Round 2'!U67</f>
        <v/>
      </c>
    </row>
    <row r="68">
      <c r="A68" s="57" t="inlineStr">
        <is>
          <t>Percutaneous gastrostomy insertion</t>
        </is>
      </c>
      <c r="B68" s="57" t="inlineStr">
        <is>
          <t>Bleeding</t>
        </is>
      </c>
      <c r="C68" s="57" t="inlineStr">
        <is>
          <t>Core candidate</t>
        </is>
      </c>
      <c r="D68" s="57">
        <f>'Delphi Round 1'!R68</f>
        <v/>
      </c>
      <c r="E68" s="57">
        <f>'Delphi Round 2'!T68</f>
        <v/>
      </c>
      <c r="F68" s="57">
        <f>'Delphi Round 1'!S68</f>
        <v/>
      </c>
      <c r="G68" s="57">
        <f>'Delphi Round 2'!U68</f>
        <v/>
      </c>
    </row>
    <row r="69">
      <c r="A69" s="57" t="inlineStr">
        <is>
          <t>Percutaneous gastrostomy insertion</t>
        </is>
      </c>
      <c r="B69" s="57" t="inlineStr">
        <is>
          <t>aspiration</t>
        </is>
      </c>
      <c r="C69" s="57" t="inlineStr">
        <is>
          <t>Core candidate</t>
        </is>
      </c>
      <c r="D69" s="57">
        <f>'Delphi Round 1'!R69</f>
        <v/>
      </c>
      <c r="E69" s="57">
        <f>'Delphi Round 2'!T69</f>
        <v/>
      </c>
      <c r="F69" s="57">
        <f>'Delphi Round 1'!S69</f>
        <v/>
      </c>
      <c r="G69" s="57">
        <f>'Delphi Round 2'!U69</f>
        <v/>
      </c>
    </row>
    <row r="70">
      <c r="A70" s="57" t="inlineStr">
        <is>
          <t>Percutaneous gastrostomy insertion</t>
        </is>
      </c>
      <c r="B70" s="57" t="inlineStr">
        <is>
          <t>bowel/adjacent-organ injury or peritonitis</t>
        </is>
      </c>
      <c r="C70" s="57" t="inlineStr">
        <is>
          <t>Core candidate</t>
        </is>
      </c>
      <c r="D70" s="57">
        <f>'Delphi Round 1'!R70</f>
        <v/>
      </c>
      <c r="E70" s="57">
        <f>'Delphi Round 2'!T70</f>
        <v/>
      </c>
      <c r="F70" s="57">
        <f>'Delphi Round 1'!S70</f>
        <v/>
      </c>
      <c r="G70" s="57">
        <f>'Delphi Round 2'!U70</f>
        <v/>
      </c>
    </row>
    <row r="71">
      <c r="A71" s="57" t="inlineStr">
        <is>
          <t>Percutaneous gastrostomy insertion</t>
        </is>
      </c>
      <c r="B71" s="57" t="inlineStr">
        <is>
          <t>Sepsis or necrotising fasciitis (rare, serious)</t>
        </is>
      </c>
      <c r="C71" s="57" t="inlineStr">
        <is>
          <t>Core candidate</t>
        </is>
      </c>
      <c r="D71" s="57">
        <f>'Delphi Round 1'!R71</f>
        <v/>
      </c>
      <c r="E71" s="57">
        <f>'Delphi Round 2'!T71</f>
        <v/>
      </c>
      <c r="F71" s="57">
        <f>'Delphi Round 1'!S71</f>
        <v/>
      </c>
      <c r="G71" s="57">
        <f>'Delphi Round 2'!U71</f>
        <v/>
      </c>
    </row>
    <row r="72">
      <c r="A72" s="57" t="inlineStr">
        <is>
          <t>Percutaneous gastrostomy insertion</t>
        </is>
      </c>
      <c r="B72" s="57" t="inlineStr">
        <is>
          <t>failure/abandonment if unsafe</t>
        </is>
      </c>
      <c r="C72" s="57" t="inlineStr">
        <is>
          <t>Core candidate</t>
        </is>
      </c>
      <c r="D72" s="57">
        <f>'Delphi Round 1'!R72</f>
        <v/>
      </c>
      <c r="E72" s="57">
        <f>'Delphi Round 2'!T72</f>
        <v/>
      </c>
      <c r="F72" s="57">
        <f>'Delphi Round 1'!S72</f>
        <v/>
      </c>
      <c r="G72" s="57">
        <f>'Delphi Round 2'!U72</f>
        <v/>
      </c>
    </row>
    <row r="73">
      <c r="A73" s="57" t="inlineStr">
        <is>
          <t>Percutaneous gastrostomy insertion</t>
        </is>
      </c>
      <c r="B73" s="57" t="inlineStr">
        <is>
          <t>Puncture-site bleeding</t>
        </is>
      </c>
      <c r="C73" s="57" t="inlineStr">
        <is>
          <t>Core candidate</t>
        </is>
      </c>
      <c r="D73" s="57">
        <f>'Delphi Round 1'!R73</f>
        <v/>
      </c>
      <c r="E73" s="57">
        <f>'Delphi Round 2'!T73</f>
        <v/>
      </c>
      <c r="F73" s="57">
        <f>'Delphi Round 1'!S73</f>
        <v/>
      </c>
      <c r="G73" s="57">
        <f>'Delphi Round 2'!U73</f>
        <v/>
      </c>
    </row>
    <row r="74">
      <c r="A74" s="57" t="inlineStr">
        <is>
          <t>Percutaneous gastrostomy insertion</t>
        </is>
      </c>
      <c r="B74" s="57" t="inlineStr">
        <is>
          <t>Sedation/anaesthesia</t>
        </is>
      </c>
      <c r="C74" s="57" t="inlineStr">
        <is>
          <t>Conditional / patient-specific</t>
        </is>
      </c>
      <c r="D74" s="57">
        <f>'Delphi Round 1'!R74</f>
        <v/>
      </c>
      <c r="E74" s="57">
        <f>'Delphi Round 2'!T74</f>
        <v/>
      </c>
      <c r="F74" s="57">
        <f>'Delphi Round 1'!S74</f>
        <v/>
      </c>
      <c r="G74" s="57">
        <f>'Delphi Round 2'!U74</f>
        <v/>
      </c>
    </row>
    <row r="75">
      <c r="A75" s="57" t="inlineStr">
        <is>
          <t>Percutaneous gastrostomy insertion</t>
        </is>
      </c>
      <c r="B75" s="57" t="inlineStr">
        <is>
          <t>contrast and fluoroscopy where relevant</t>
        </is>
      </c>
      <c r="C75" s="57" t="inlineStr">
        <is>
          <t>Conditional / patient-specific</t>
        </is>
      </c>
      <c r="D75" s="57">
        <f>'Delphi Round 1'!R75</f>
        <v/>
      </c>
      <c r="E75" s="57">
        <f>'Delphi Round 2'!T75</f>
        <v/>
      </c>
      <c r="F75" s="57">
        <f>'Delphi Round 1'!S75</f>
        <v/>
      </c>
      <c r="G75" s="57">
        <f>'Delphi Round 2'!U75</f>
        <v/>
      </c>
    </row>
    <row r="76">
      <c r="A76" s="57" t="inlineStr">
        <is>
          <t>Percutaneous gastrostomy insertion</t>
        </is>
      </c>
      <c r="B76" s="57" t="inlineStr">
        <is>
          <t>Ascites, altered anatomy, prior surgery, airway/aspiration risk</t>
        </is>
      </c>
      <c r="C76" s="57" t="inlineStr">
        <is>
          <t>Conditional / patient-specific</t>
        </is>
      </c>
      <c r="D76" s="57">
        <f>'Delphi Round 1'!R76</f>
        <v/>
      </c>
      <c r="E76" s="57">
        <f>'Delphi Round 2'!T76</f>
        <v/>
      </c>
      <c r="F76" s="57">
        <f>'Delphi Round 1'!S76</f>
        <v/>
      </c>
      <c r="G76" s="57">
        <f>'Delphi Round 2'!U76</f>
        <v/>
      </c>
    </row>
    <row r="77">
      <c r="A77" s="57" t="inlineStr">
        <is>
          <t>Transjugular liver biopsy (TJLB)</t>
        </is>
      </c>
      <c r="B77" s="57" t="inlineStr">
        <is>
          <t>Neck discomfort</t>
        </is>
      </c>
      <c r="C77" s="57" t="inlineStr">
        <is>
          <t>Core candidate</t>
        </is>
      </c>
      <c r="D77" s="57">
        <f>'Delphi Round 1'!R77</f>
        <v/>
      </c>
      <c r="E77" s="57">
        <f>'Delphi Round 2'!T77</f>
        <v/>
      </c>
      <c r="F77" s="57">
        <f>'Delphi Round 1'!S77</f>
        <v/>
      </c>
      <c r="G77" s="57">
        <f>'Delphi Round 2'!U77</f>
        <v/>
      </c>
    </row>
    <row r="78">
      <c r="A78" s="57" t="inlineStr">
        <is>
          <t>Transjugular liver biopsy (TJLB)</t>
        </is>
      </c>
      <c r="B78" s="57" t="inlineStr">
        <is>
          <t>inadequate sample/repeat biopsy</t>
        </is>
      </c>
      <c r="C78" s="57" t="inlineStr">
        <is>
          <t>Core candidate</t>
        </is>
      </c>
      <c r="D78" s="57">
        <f>'Delphi Round 1'!R78</f>
        <v/>
      </c>
      <c r="E78" s="57">
        <f>'Delphi Round 2'!T78</f>
        <v/>
      </c>
      <c r="F78" s="57">
        <f>'Delphi Round 1'!S78</f>
        <v/>
      </c>
      <c r="G78" s="57">
        <f>'Delphi Round 2'!U78</f>
        <v/>
      </c>
    </row>
    <row r="79">
      <c r="A79" s="57" t="inlineStr">
        <is>
          <t>Transjugular liver biopsy (TJLB)</t>
        </is>
      </c>
      <c r="B79" s="57" t="inlineStr">
        <is>
          <t>Neck bleeding/haematoma</t>
        </is>
      </c>
      <c r="C79" s="57" t="inlineStr">
        <is>
          <t>Core candidate</t>
        </is>
      </c>
      <c r="D79" s="57">
        <f>'Delphi Round 1'!R79</f>
        <v/>
      </c>
      <c r="E79" s="57">
        <f>'Delphi Round 2'!T79</f>
        <v/>
      </c>
      <c r="F79" s="57">
        <f>'Delphi Round 1'!S79</f>
        <v/>
      </c>
      <c r="G79" s="57">
        <f>'Delphi Round 2'!U79</f>
        <v/>
      </c>
    </row>
    <row r="80">
      <c r="A80" s="57" t="inlineStr">
        <is>
          <t>Transjugular liver biopsy (TJLB)</t>
        </is>
      </c>
      <c r="B80" s="57" t="inlineStr">
        <is>
          <t>arrhythmia</t>
        </is>
      </c>
      <c r="C80" s="57" t="inlineStr">
        <is>
          <t>Core candidate</t>
        </is>
      </c>
      <c r="D80" s="57">
        <f>'Delphi Round 1'!R80</f>
        <v/>
      </c>
      <c r="E80" s="57">
        <f>'Delphi Round 2'!T80</f>
        <v/>
      </c>
      <c r="F80" s="57">
        <f>'Delphi Round 1'!S80</f>
        <v/>
      </c>
      <c r="G80" s="57">
        <f>'Delphi Round 2'!U80</f>
        <v/>
      </c>
    </row>
    <row r="81">
      <c r="A81" s="57" t="inlineStr">
        <is>
          <t>Transjugular liver biopsy (TJLB)</t>
        </is>
      </c>
      <c r="B81" s="57" t="inlineStr">
        <is>
          <t>capsular perforation or intra-abdominal bleeding</t>
        </is>
      </c>
      <c r="C81" s="57" t="inlineStr">
        <is>
          <t>Core candidate</t>
        </is>
      </c>
      <c r="D81" s="57">
        <f>'Delphi Round 1'!R81</f>
        <v/>
      </c>
      <c r="E81" s="57">
        <f>'Delphi Round 2'!T81</f>
        <v/>
      </c>
      <c r="F81" s="57">
        <f>'Delphi Round 1'!S81</f>
        <v/>
      </c>
      <c r="G81" s="57">
        <f>'Delphi Round 2'!U81</f>
        <v/>
      </c>
    </row>
    <row r="82">
      <c r="A82" s="57" t="inlineStr">
        <is>
          <t>Transjugular liver biopsy (TJLB)</t>
        </is>
      </c>
      <c r="B82" s="57" t="inlineStr">
        <is>
          <t>Haemobilia/biliary injury</t>
        </is>
      </c>
      <c r="C82" s="57" t="inlineStr">
        <is>
          <t>Core candidate</t>
        </is>
      </c>
      <c r="D82" s="57">
        <f>'Delphi Round 1'!R82</f>
        <v/>
      </c>
      <c r="E82" s="57">
        <f>'Delphi Round 2'!T82</f>
        <v/>
      </c>
      <c r="F82" s="57">
        <f>'Delphi Round 1'!S82</f>
        <v/>
      </c>
      <c r="G82" s="57">
        <f>'Delphi Round 2'!U82</f>
        <v/>
      </c>
    </row>
    <row r="83">
      <c r="A83" s="57" t="inlineStr">
        <is>
          <t>Transjugular liver biopsy (TJLB)</t>
        </is>
      </c>
      <c r="B83" s="57" t="inlineStr">
        <is>
          <t>severe bleeding</t>
        </is>
      </c>
      <c r="C83" s="57" t="inlineStr">
        <is>
          <t>Core candidate</t>
        </is>
      </c>
      <c r="D83" s="57">
        <f>'Delphi Round 1'!R83</f>
        <v/>
      </c>
      <c r="E83" s="57">
        <f>'Delphi Round 2'!T83</f>
        <v/>
      </c>
      <c r="F83" s="57">
        <f>'Delphi Round 1'!S83</f>
        <v/>
      </c>
      <c r="G83" s="57">
        <f>'Delphi Round 2'!U83</f>
        <v/>
      </c>
    </row>
    <row r="84">
      <c r="A84" s="57" t="inlineStr">
        <is>
          <t>Transjugular liver biopsy (TJLB)</t>
        </is>
      </c>
      <c r="B84" s="57" t="inlineStr">
        <is>
          <t>Neck puncture bleeding/haematoma</t>
        </is>
      </c>
      <c r="C84" s="57" t="inlineStr">
        <is>
          <t>Core candidate</t>
        </is>
      </c>
      <c r="D84" s="57">
        <f>'Delphi Round 1'!R84</f>
        <v/>
      </c>
      <c r="E84" s="57">
        <f>'Delphi Round 2'!T84</f>
        <v/>
      </c>
      <c r="F84" s="57">
        <f>'Delphi Round 1'!S84</f>
        <v/>
      </c>
      <c r="G84" s="57">
        <f>'Delphi Round 2'!U84</f>
        <v/>
      </c>
    </row>
    <row r="85">
      <c r="A85" s="57" t="inlineStr">
        <is>
          <t>Transjugular liver biopsy (TJLB)</t>
        </is>
      </c>
      <c r="B85" s="57" t="inlineStr">
        <is>
          <t>inadvertent arterial puncture</t>
        </is>
      </c>
      <c r="C85" s="57" t="inlineStr">
        <is>
          <t>Core candidate</t>
        </is>
      </c>
      <c r="D85" s="57">
        <f>'Delphi Round 1'!R85</f>
        <v/>
      </c>
      <c r="E85" s="57">
        <f>'Delphi Round 2'!T85</f>
        <v/>
      </c>
      <c r="F85" s="57">
        <f>'Delphi Round 1'!S85</f>
        <v/>
      </c>
      <c r="G85" s="57">
        <f>'Delphi Round 2'!U85</f>
        <v/>
      </c>
    </row>
    <row r="86">
      <c r="A86" s="57" t="inlineStr">
        <is>
          <t>Transjugular liver biopsy (TJLB)</t>
        </is>
      </c>
      <c r="B86" s="57" t="inlineStr">
        <is>
          <t>Contrast/radiation as relevant</t>
        </is>
      </c>
      <c r="C86" s="57" t="inlineStr">
        <is>
          <t>Conditional / patient-specific</t>
        </is>
      </c>
      <c r="D86" s="57">
        <f>'Delphi Round 1'!R86</f>
        <v/>
      </c>
      <c r="E86" s="57">
        <f>'Delphi Round 2'!T86</f>
        <v/>
      </c>
      <c r="F86" s="57">
        <f>'Delphi Round 1'!S86</f>
        <v/>
      </c>
      <c r="G86" s="57">
        <f>'Delphi Round 2'!U86</f>
        <v/>
      </c>
    </row>
    <row r="87">
      <c r="A87" s="57" t="inlineStr">
        <is>
          <t>Transjugular liver biopsy (TJLB)</t>
        </is>
      </c>
      <c r="B87" s="57" t="inlineStr">
        <is>
          <t>sedation if used</t>
        </is>
      </c>
      <c r="C87" s="57" t="inlineStr">
        <is>
          <t>Conditional / patient-specific</t>
        </is>
      </c>
      <c r="D87" s="57">
        <f>'Delphi Round 1'!R87</f>
        <v/>
      </c>
      <c r="E87" s="57">
        <f>'Delphi Round 2'!T87</f>
        <v/>
      </c>
      <c r="F87" s="57">
        <f>'Delphi Round 1'!S87</f>
        <v/>
      </c>
      <c r="G87" s="57">
        <f>'Delphi Round 2'!U87</f>
        <v/>
      </c>
    </row>
    <row r="88">
      <c r="A88" s="57" t="inlineStr">
        <is>
          <t>Transjugular liver biopsy (TJLB)</t>
        </is>
      </c>
      <c r="B88" s="57" t="inlineStr">
        <is>
          <t>Liver disease severity, coagulopathy, route and biopsy indication</t>
        </is>
      </c>
      <c r="C88" s="57" t="inlineStr">
        <is>
          <t>Conditional / patient-specific</t>
        </is>
      </c>
      <c r="D88" s="57">
        <f>'Delphi Round 1'!R88</f>
        <v/>
      </c>
      <c r="E88" s="57">
        <f>'Delphi Round 2'!T88</f>
        <v/>
      </c>
      <c r="F88" s="57">
        <f>'Delphi Round 1'!S88</f>
        <v/>
      </c>
      <c r="G88" s="57">
        <f>'Delphi Round 2'!U88</f>
        <v/>
      </c>
    </row>
    <row r="89">
      <c r="A89" s="57" t="inlineStr">
        <is>
          <t>Peripheral arterial angioplasty +/- stenting</t>
        </is>
      </c>
      <c r="B89" s="57" t="inlineStr">
        <is>
          <t>Access-site bruising/bleeding</t>
        </is>
      </c>
      <c r="C89" s="57" t="inlineStr">
        <is>
          <t>Core candidate</t>
        </is>
      </c>
      <c r="D89" s="57">
        <f>'Delphi Round 1'!R89</f>
        <v/>
      </c>
      <c r="E89" s="57">
        <f>'Delphi Round 2'!T89</f>
        <v/>
      </c>
      <c r="F89" s="57">
        <f>'Delphi Round 1'!S89</f>
        <v/>
      </c>
      <c r="G89" s="57">
        <f>'Delphi Round 2'!U89</f>
        <v/>
      </c>
    </row>
    <row r="90">
      <c r="A90" s="57" t="inlineStr">
        <is>
          <t>Peripheral arterial angioplasty +/- stenting</t>
        </is>
      </c>
      <c r="B90" s="57" t="inlineStr">
        <is>
          <t>restenosis or recurrent symptoms</t>
        </is>
      </c>
      <c r="C90" s="57" t="inlineStr">
        <is>
          <t>Core candidate</t>
        </is>
      </c>
      <c r="D90" s="57">
        <f>'Delphi Round 1'!R90</f>
        <v/>
      </c>
      <c r="E90" s="57">
        <f>'Delphi Round 2'!T90</f>
        <v/>
      </c>
      <c r="F90" s="57">
        <f>'Delphi Round 1'!S90</f>
        <v/>
      </c>
      <c r="G90" s="57">
        <f>'Delphi Round 2'!U90</f>
        <v/>
      </c>
    </row>
    <row r="91">
      <c r="A91" s="57" t="inlineStr">
        <is>
          <t>Peripheral arterial angioplasty +/- stenting</t>
        </is>
      </c>
      <c r="B91" s="57" t="inlineStr">
        <is>
          <t>Dissection</t>
        </is>
      </c>
      <c r="C91" s="57" t="inlineStr">
        <is>
          <t>Core candidate</t>
        </is>
      </c>
      <c r="D91" s="57">
        <f>'Delphi Round 1'!R91</f>
        <v/>
      </c>
      <c r="E91" s="57">
        <f>'Delphi Round 2'!T91</f>
        <v/>
      </c>
      <c r="F91" s="57">
        <f>'Delphi Round 1'!S91</f>
        <v/>
      </c>
      <c r="G91" s="57">
        <f>'Delphi Round 2'!U91</f>
        <v/>
      </c>
    </row>
    <row r="92">
      <c r="A92" s="57" t="inlineStr">
        <is>
          <t>Peripheral arterial angioplasty +/- stenting</t>
        </is>
      </c>
      <c r="B92" s="57" t="inlineStr">
        <is>
          <t>distal embolisation</t>
        </is>
      </c>
      <c r="C92" s="57" t="inlineStr">
        <is>
          <t>Core candidate</t>
        </is>
      </c>
      <c r="D92" s="57">
        <f>'Delphi Round 1'!R92</f>
        <v/>
      </c>
      <c r="E92" s="57">
        <f>'Delphi Round 2'!T92</f>
        <v/>
      </c>
      <c r="F92" s="57">
        <f>'Delphi Round 1'!S92</f>
        <v/>
      </c>
      <c r="G92" s="57">
        <f>'Delphi Round 2'!U92</f>
        <v/>
      </c>
    </row>
    <row r="93">
      <c r="A93" s="57" t="inlineStr">
        <is>
          <t>Peripheral arterial angioplasty +/- stenting</t>
        </is>
      </c>
      <c r="B93" s="57" t="inlineStr">
        <is>
          <t>vessel perforation/rupture</t>
        </is>
      </c>
      <c r="C93" s="57" t="inlineStr">
        <is>
          <t>Core candidate</t>
        </is>
      </c>
      <c r="D93" s="57">
        <f>'Delphi Round 1'!R93</f>
        <v/>
      </c>
      <c r="E93" s="57">
        <f>'Delphi Round 2'!T93</f>
        <v/>
      </c>
      <c r="F93" s="57">
        <f>'Delphi Round 1'!S93</f>
        <v/>
      </c>
      <c r="G93" s="57">
        <f>'Delphi Round 2'!U93</f>
        <v/>
      </c>
    </row>
    <row r="94">
      <c r="A94" s="57" t="inlineStr">
        <is>
          <t>Peripheral arterial angioplasty +/- stenting</t>
        </is>
      </c>
      <c r="B94" s="57" t="inlineStr">
        <is>
          <t>acute thrombosis/occlusion</t>
        </is>
      </c>
      <c r="C94" s="57" t="inlineStr">
        <is>
          <t>Core candidate</t>
        </is>
      </c>
      <c r="D94" s="57">
        <f>'Delphi Round 1'!R94</f>
        <v/>
      </c>
      <c r="E94" s="57">
        <f>'Delphi Round 2'!T94</f>
        <v/>
      </c>
      <c r="F94" s="57">
        <f>'Delphi Round 1'!S94</f>
        <v/>
      </c>
      <c r="G94" s="57">
        <f>'Delphi Round 2'!U94</f>
        <v/>
      </c>
    </row>
    <row r="95">
      <c r="A95" s="57" t="inlineStr">
        <is>
          <t>Peripheral arterial angioplasty +/- stenting</t>
        </is>
      </c>
      <c r="B95" s="57" t="inlineStr">
        <is>
          <t>Acute limb ischaemia, limb loss, reintervention</t>
        </is>
      </c>
      <c r="C95" s="57" t="inlineStr">
        <is>
          <t>Core candidate</t>
        </is>
      </c>
      <c r="D95" s="57">
        <f>'Delphi Round 1'!R95</f>
        <v/>
      </c>
      <c r="E95" s="57">
        <f>'Delphi Round 2'!T95</f>
        <v/>
      </c>
      <c r="F95" s="57">
        <f>'Delphi Round 1'!S95</f>
        <v/>
      </c>
      <c r="G95" s="57">
        <f>'Delphi Round 2'!U95</f>
        <v/>
      </c>
    </row>
    <row r="96">
      <c r="A96" s="57" t="inlineStr">
        <is>
          <t>Peripheral arterial angioplasty +/- stenting</t>
        </is>
      </c>
      <c r="B96" s="57" t="inlineStr">
        <is>
          <t>Access bleeding/haematoma, pseudoaneurysm, AV fistula, arterial injury</t>
        </is>
      </c>
      <c r="C96" s="57" t="inlineStr">
        <is>
          <t>Core candidate</t>
        </is>
      </c>
      <c r="D96" s="57">
        <f>'Delphi Round 1'!R96</f>
        <v/>
      </c>
      <c r="E96" s="57">
        <f>'Delphi Round 2'!T96</f>
        <v/>
      </c>
      <c r="F96" s="57">
        <f>'Delphi Round 1'!S96</f>
        <v/>
      </c>
      <c r="G96" s="57">
        <f>'Delphi Round 2'!U96</f>
        <v/>
      </c>
    </row>
    <row r="97">
      <c r="A97" s="57" t="inlineStr">
        <is>
          <t>Peripheral arterial angioplasty +/- stenting</t>
        </is>
      </c>
      <c r="B97" s="57" t="inlineStr">
        <is>
          <t>Contrast reaction/AKI</t>
        </is>
      </c>
      <c r="C97" s="57" t="inlineStr">
        <is>
          <t>Conditional / patient-specific</t>
        </is>
      </c>
      <c r="D97" s="57">
        <f>'Delphi Round 1'!R97</f>
        <v/>
      </c>
      <c r="E97" s="57">
        <f>'Delphi Round 2'!T97</f>
        <v/>
      </c>
      <c r="F97" s="57">
        <f>'Delphi Round 1'!S97</f>
        <v/>
      </c>
      <c r="G97" s="57">
        <f>'Delphi Round 2'!U97</f>
        <v/>
      </c>
    </row>
    <row r="98">
      <c r="A98" s="57" t="inlineStr">
        <is>
          <t>Peripheral arterial angioplasty +/- stenting</t>
        </is>
      </c>
      <c r="B98" s="57" t="inlineStr">
        <is>
          <t>radiation</t>
        </is>
      </c>
      <c r="C98" s="57" t="inlineStr">
        <is>
          <t>Conditional / patient-specific</t>
        </is>
      </c>
      <c r="D98" s="57">
        <f>'Delphi Round 1'!R98</f>
        <v/>
      </c>
      <c r="E98" s="57">
        <f>'Delphi Round 2'!T98</f>
        <v/>
      </c>
      <c r="F98" s="57">
        <f>'Delphi Round 1'!S98</f>
        <v/>
      </c>
      <c r="G98" s="57">
        <f>'Delphi Round 2'!U98</f>
        <v/>
      </c>
    </row>
    <row r="99">
      <c r="A99" s="57" t="inlineStr">
        <is>
          <t>Peripheral arterial angioplasty +/- stenting</t>
        </is>
      </c>
      <c r="B99" s="57" t="inlineStr">
        <is>
          <t>device-specific risk as applicable</t>
        </is>
      </c>
      <c r="C99" s="57" t="inlineStr">
        <is>
          <t>Conditional / patient-specific</t>
        </is>
      </c>
      <c r="D99" s="57">
        <f>'Delphi Round 1'!R99</f>
        <v/>
      </c>
      <c r="E99" s="57">
        <f>'Delphi Round 2'!T99</f>
        <v/>
      </c>
      <c r="F99" s="57">
        <f>'Delphi Round 1'!S99</f>
        <v/>
      </c>
      <c r="G99" s="57">
        <f>'Delphi Round 2'!U99</f>
        <v/>
      </c>
    </row>
    <row r="100">
      <c r="A100" s="57" t="inlineStr">
        <is>
          <t>Peripheral arterial angioplasty +/- stenting</t>
        </is>
      </c>
      <c r="B100" s="57" t="inlineStr">
        <is>
          <t>Arterial territory, CLTI vs claudication, access, DCB/stent type, runoff</t>
        </is>
      </c>
      <c r="C100" s="57" t="inlineStr">
        <is>
          <t>Conditional / patient-specific</t>
        </is>
      </c>
      <c r="D100" s="57">
        <f>'Delphi Round 1'!R100</f>
        <v/>
      </c>
      <c r="E100" s="57">
        <f>'Delphi Round 2'!T100</f>
        <v/>
      </c>
      <c r="F100" s="57">
        <f>'Delphi Round 1'!S100</f>
        <v/>
      </c>
      <c r="G100" s="57">
        <f>'Delphi Round 2'!U100</f>
        <v/>
      </c>
    </row>
    <row r="101">
      <c r="A101" s="57" t="inlineStr">
        <is>
          <t>Portal vein embolisation (PVE)</t>
        </is>
      </c>
      <c r="B101" s="57" t="inlineStr">
        <is>
          <t>Access/transhepatic pain</t>
        </is>
      </c>
      <c r="C101" s="57" t="inlineStr">
        <is>
          <t>Core candidate</t>
        </is>
      </c>
      <c r="D101" s="57">
        <f>'Delphi Round 1'!R101</f>
        <v/>
      </c>
      <c r="E101" s="57">
        <f>'Delphi Round 2'!T101</f>
        <v/>
      </c>
      <c r="F101" s="57">
        <f>'Delphi Round 1'!S101</f>
        <v/>
      </c>
      <c r="G101" s="57">
        <f>'Delphi Round 2'!U101</f>
        <v/>
      </c>
    </row>
    <row r="102">
      <c r="A102" s="57" t="inlineStr">
        <is>
          <t>Portal vein embolisation (PVE)</t>
        </is>
      </c>
      <c r="B102" s="57" t="inlineStr">
        <is>
          <t>failure to achieve planned hypertrophy</t>
        </is>
      </c>
      <c r="C102" s="57" t="inlineStr">
        <is>
          <t>Core candidate</t>
        </is>
      </c>
      <c r="D102" s="57">
        <f>'Delphi Round 1'!R102</f>
        <v/>
      </c>
      <c r="E102" s="57">
        <f>'Delphi Round 2'!T102</f>
        <v/>
      </c>
      <c r="F102" s="57">
        <f>'Delphi Round 1'!S102</f>
        <v/>
      </c>
      <c r="G102" s="57">
        <f>'Delphi Round 2'!U102</f>
        <v/>
      </c>
    </row>
    <row r="103">
      <c r="A103" s="57" t="inlineStr">
        <is>
          <t>Portal vein embolisation (PVE)</t>
        </is>
      </c>
      <c r="B103" s="57" t="inlineStr">
        <is>
          <t>Portal vein thrombosis/extension</t>
        </is>
      </c>
      <c r="C103" s="57" t="inlineStr">
        <is>
          <t>Core candidate</t>
        </is>
      </c>
      <c r="D103" s="57">
        <f>'Delphi Round 1'!R103</f>
        <v/>
      </c>
      <c r="E103" s="57">
        <f>'Delphi Round 2'!T103</f>
        <v/>
      </c>
      <c r="F103" s="57">
        <f>'Delphi Round 1'!S103</f>
        <v/>
      </c>
      <c r="G103" s="57">
        <f>'Delphi Round 2'!U103</f>
        <v/>
      </c>
    </row>
    <row r="104">
      <c r="A104" s="57" t="inlineStr">
        <is>
          <t>Portal vein embolisation (PVE)</t>
        </is>
      </c>
      <c r="B104" s="57" t="inlineStr">
        <is>
          <t>infection, cholangitis, abscess or sepsis</t>
        </is>
      </c>
      <c r="C104" s="57" t="inlineStr">
        <is>
          <t>Core candidate</t>
        </is>
      </c>
      <c r="D104" s="57">
        <f>'Delphi Round 1'!R104</f>
        <v/>
      </c>
      <c r="E104" s="57">
        <f>'Delphi Round 2'!T104</f>
        <v/>
      </c>
      <c r="F104" s="57">
        <f>'Delphi Round 1'!S104</f>
        <v/>
      </c>
      <c r="G104" s="57">
        <f>'Delphi Round 2'!U104</f>
        <v/>
      </c>
    </row>
    <row r="105">
      <c r="A105" s="57" t="inlineStr">
        <is>
          <t>Portal vein embolisation (PVE)</t>
        </is>
      </c>
      <c r="B105" s="57" t="inlineStr">
        <is>
          <t>Non-target embolisation</t>
        </is>
      </c>
      <c r="C105" s="57" t="inlineStr">
        <is>
          <t>Core candidate</t>
        </is>
      </c>
      <c r="D105" s="57">
        <f>'Delphi Round 1'!R105</f>
        <v/>
      </c>
      <c r="E105" s="57">
        <f>'Delphi Round 2'!T105</f>
        <v/>
      </c>
      <c r="F105" s="57">
        <f>'Delphi Round 1'!S105</f>
        <v/>
      </c>
      <c r="G105" s="57">
        <f>'Delphi Round 2'!U105</f>
        <v/>
      </c>
    </row>
    <row r="106">
      <c r="A106" s="57" t="inlineStr">
        <is>
          <t>Portal vein embolisation (PVE)</t>
        </is>
      </c>
      <c r="B106" s="57" t="inlineStr">
        <is>
          <t>liver failure after subsequent surgery</t>
        </is>
      </c>
      <c r="C106" s="57" t="inlineStr">
        <is>
          <t>Core candidate</t>
        </is>
      </c>
      <c r="D106" s="57">
        <f>'Delphi Round 1'!R106</f>
        <v/>
      </c>
      <c r="E106" s="57">
        <f>'Delphi Round 2'!T106</f>
        <v/>
      </c>
      <c r="F106" s="57">
        <f>'Delphi Round 1'!S106</f>
        <v/>
      </c>
      <c r="G106" s="57">
        <f>'Delphi Round 2'!U106</f>
        <v/>
      </c>
    </row>
    <row r="107">
      <c r="A107" s="57" t="inlineStr">
        <is>
          <t>Portal vein embolisation (PVE)</t>
        </is>
      </c>
      <c r="B107" s="57" t="inlineStr">
        <is>
          <t>unable to proceed to hepatectomy</t>
        </is>
      </c>
      <c r="C107" s="57" t="inlineStr">
        <is>
          <t>Core candidate</t>
        </is>
      </c>
      <c r="D107" s="57">
        <f>'Delphi Round 1'!R107</f>
        <v/>
      </c>
      <c r="E107" s="57">
        <f>'Delphi Round 2'!T107</f>
        <v/>
      </c>
      <c r="F107" s="57">
        <f>'Delphi Round 1'!S107</f>
        <v/>
      </c>
      <c r="G107" s="57">
        <f>'Delphi Round 2'!U107</f>
        <v/>
      </c>
    </row>
    <row r="108">
      <c r="A108" s="57" t="inlineStr">
        <is>
          <t>Portal vein embolisation (PVE)</t>
        </is>
      </c>
      <c r="B108" s="57" t="inlineStr">
        <is>
          <t>Transhepatic puncture bleeding</t>
        </is>
      </c>
      <c r="C108" s="57" t="inlineStr">
        <is>
          <t>Core candidate</t>
        </is>
      </c>
      <c r="D108" s="57">
        <f>'Delphi Round 1'!R108</f>
        <v/>
      </c>
      <c r="E108" s="57">
        <f>'Delphi Round 2'!T108</f>
        <v/>
      </c>
      <c r="F108" s="57">
        <f>'Delphi Round 1'!S108</f>
        <v/>
      </c>
      <c r="G108" s="57">
        <f>'Delphi Round 2'!U108</f>
        <v/>
      </c>
    </row>
    <row r="109">
      <c r="A109" s="57" t="inlineStr">
        <is>
          <t>Portal vein embolisation (PVE)</t>
        </is>
      </c>
      <c r="B109" s="57" t="inlineStr">
        <is>
          <t>Contrast reaction/AKI</t>
        </is>
      </c>
      <c r="C109" s="57" t="inlineStr">
        <is>
          <t>Conditional / patient-specific</t>
        </is>
      </c>
      <c r="D109" s="57">
        <f>'Delphi Round 1'!R109</f>
        <v/>
      </c>
      <c r="E109" s="57">
        <f>'Delphi Round 2'!T109</f>
        <v/>
      </c>
      <c r="F109" s="57">
        <f>'Delphi Round 1'!S109</f>
        <v/>
      </c>
      <c r="G109" s="57">
        <f>'Delphi Round 2'!U109</f>
        <v/>
      </c>
    </row>
    <row r="110">
      <c r="A110" s="57" t="inlineStr">
        <is>
          <t>Portal vein embolisation (PVE)</t>
        </is>
      </c>
      <c r="B110" s="57" t="inlineStr">
        <is>
          <t>radiation exposure</t>
        </is>
      </c>
      <c r="C110" s="57" t="inlineStr">
        <is>
          <t>Conditional / patient-specific</t>
        </is>
      </c>
      <c r="D110" s="57">
        <f>'Delphi Round 1'!R110</f>
        <v/>
      </c>
      <c r="E110" s="57">
        <f>'Delphi Round 2'!T110</f>
        <v/>
      </c>
      <c r="F110" s="57">
        <f>'Delphi Round 1'!S110</f>
        <v/>
      </c>
      <c r="G110" s="57">
        <f>'Delphi Round 2'!U110</f>
        <v/>
      </c>
    </row>
    <row r="111">
      <c r="A111" s="57" t="inlineStr">
        <is>
          <t>Portal vein embolisation (PVE)</t>
        </is>
      </c>
      <c r="B111" s="57" t="inlineStr">
        <is>
          <t>PVE vs LVD/double-vein technique, embolic agent, liver status and surgical plan</t>
        </is>
      </c>
      <c r="C111" s="57" t="inlineStr">
        <is>
          <t>Conditional / patient-specific</t>
        </is>
      </c>
      <c r="D111" s="57">
        <f>'Delphi Round 1'!R111</f>
        <v/>
      </c>
      <c r="E111" s="57">
        <f>'Delphi Round 2'!T111</f>
        <v/>
      </c>
      <c r="F111" s="57">
        <f>'Delphi Round 1'!S111</f>
        <v/>
      </c>
      <c r="G111" s="57">
        <f>'Delphi Round 2'!U111</f>
        <v/>
      </c>
    </row>
    <row r="112">
      <c r="A112" s="57" t="inlineStr">
        <is>
          <t>Prostatic artery embolisation (PAE)</t>
        </is>
      </c>
      <c r="B112" s="57" t="inlineStr">
        <is>
          <t>Transient dysuria, frequency/urgency, haematuria, rectal bleeding or post-embolisation symptoms</t>
        </is>
      </c>
      <c r="C112" s="57" t="inlineStr">
        <is>
          <t>Core candidate</t>
        </is>
      </c>
      <c r="D112" s="57">
        <f>'Delphi Round 1'!R112</f>
        <v/>
      </c>
      <c r="E112" s="57">
        <f>'Delphi Round 2'!T112</f>
        <v/>
      </c>
      <c r="F112" s="57">
        <f>'Delphi Round 1'!S112</f>
        <v/>
      </c>
      <c r="G112" s="57">
        <f>'Delphi Round 2'!U112</f>
        <v/>
      </c>
    </row>
    <row r="113">
      <c r="A113" s="57" t="inlineStr">
        <is>
          <t>Prostatic artery embolisation (PAE)</t>
        </is>
      </c>
      <c r="B113" s="57" t="inlineStr">
        <is>
          <t>UTI/retention</t>
        </is>
      </c>
      <c r="C113" s="57" t="inlineStr">
        <is>
          <t>Core candidate</t>
        </is>
      </c>
      <c r="D113" s="57">
        <f>'Delphi Round 1'!R113</f>
        <v/>
      </c>
      <c r="E113" s="57">
        <f>'Delphi Round 2'!T113</f>
        <v/>
      </c>
      <c r="F113" s="57">
        <f>'Delphi Round 1'!S113</f>
        <v/>
      </c>
      <c r="G113" s="57">
        <f>'Delphi Round 2'!U113</f>
        <v/>
      </c>
    </row>
    <row r="114">
      <c r="A114" s="57" t="inlineStr">
        <is>
          <t>Prostatic artery embolisation (PAE)</t>
        </is>
      </c>
      <c r="B114" s="57" t="inlineStr">
        <is>
          <t>persistent LUTS or treatment failure</t>
        </is>
      </c>
      <c r="C114" s="57" t="inlineStr">
        <is>
          <t>Core candidate</t>
        </is>
      </c>
      <c r="D114" s="57">
        <f>'Delphi Round 1'!R114</f>
        <v/>
      </c>
      <c r="E114" s="57">
        <f>'Delphi Round 2'!T114</f>
        <v/>
      </c>
      <c r="F114" s="57">
        <f>'Delphi Round 1'!S114</f>
        <v/>
      </c>
      <c r="G114" s="57">
        <f>'Delphi Round 2'!U114</f>
        <v/>
      </c>
    </row>
    <row r="115">
      <c r="A115" s="57" t="inlineStr">
        <is>
          <t>Prostatic artery embolisation (PAE)</t>
        </is>
      </c>
      <c r="B115" s="57" t="inlineStr">
        <is>
          <t>repeat intervention</t>
        </is>
      </c>
      <c r="C115" s="57" t="inlineStr">
        <is>
          <t>Core candidate</t>
        </is>
      </c>
      <c r="D115" s="57">
        <f>'Delphi Round 1'!R115</f>
        <v/>
      </c>
      <c r="E115" s="57">
        <f>'Delphi Round 2'!T115</f>
        <v/>
      </c>
      <c r="F115" s="57">
        <f>'Delphi Round 1'!S115</f>
        <v/>
      </c>
      <c r="G115" s="57">
        <f>'Delphi Round 2'!U115</f>
        <v/>
      </c>
    </row>
    <row r="116">
      <c r="A116" s="57" t="inlineStr">
        <is>
          <t>Prostatic artery embolisation (PAE)</t>
        </is>
      </c>
      <c r="B116" s="57" t="inlineStr">
        <is>
          <t>Non-target pelvic ischaemia causing bladder, rectal or penile injury/ulceration/necrosis</t>
        </is>
      </c>
      <c r="C116" s="57" t="inlineStr">
        <is>
          <t>Core candidate</t>
        </is>
      </c>
      <c r="D116" s="57">
        <f>'Delphi Round 1'!R116</f>
        <v/>
      </c>
      <c r="E116" s="57">
        <f>'Delphi Round 2'!T116</f>
        <v/>
      </c>
      <c r="F116" s="57">
        <f>'Delphi Round 1'!S116</f>
        <v/>
      </c>
      <c r="G116" s="57">
        <f>'Delphi Round 2'!U116</f>
        <v/>
      </c>
    </row>
    <row r="117">
      <c r="A117" s="57" t="inlineStr">
        <is>
          <t>Prostatic artery embolisation (PAE)</t>
        </is>
      </c>
      <c r="B117" s="57" t="inlineStr">
        <is>
          <t>sexual dysfunction where material</t>
        </is>
      </c>
      <c r="C117" s="57" t="inlineStr">
        <is>
          <t>Core candidate</t>
        </is>
      </c>
      <c r="D117" s="57">
        <f>'Delphi Round 1'!R117</f>
        <v/>
      </c>
      <c r="E117" s="57">
        <f>'Delphi Round 2'!T117</f>
        <v/>
      </c>
      <c r="F117" s="57">
        <f>'Delphi Round 1'!S117</f>
        <v/>
      </c>
      <c r="G117" s="57">
        <f>'Delphi Round 2'!U117</f>
        <v/>
      </c>
    </row>
    <row r="118">
      <c r="A118" s="57" t="inlineStr">
        <is>
          <t>Prostatic artery embolisation (PAE)</t>
        </is>
      </c>
      <c r="B118" s="57" t="inlineStr">
        <is>
          <t>Arterial access bleeding/haematoma</t>
        </is>
      </c>
      <c r="C118" s="57" t="inlineStr">
        <is>
          <t>Core candidate</t>
        </is>
      </c>
      <c r="D118" s="57">
        <f>'Delphi Round 1'!R118</f>
        <v/>
      </c>
      <c r="E118" s="57">
        <f>'Delphi Round 2'!T118</f>
        <v/>
      </c>
      <c r="F118" s="57">
        <f>'Delphi Round 1'!S118</f>
        <v/>
      </c>
      <c r="G118" s="57">
        <f>'Delphi Round 2'!U118</f>
        <v/>
      </c>
    </row>
    <row r="119">
      <c r="A119" s="57" t="inlineStr">
        <is>
          <t>Prostatic artery embolisation (PAE)</t>
        </is>
      </c>
      <c r="B119" s="57" t="inlineStr">
        <is>
          <t>arterial injury</t>
        </is>
      </c>
      <c r="C119" s="57" t="inlineStr">
        <is>
          <t>Core candidate</t>
        </is>
      </c>
      <c r="D119" s="57">
        <f>'Delphi Round 1'!R119</f>
        <v/>
      </c>
      <c r="E119" s="57">
        <f>'Delphi Round 2'!T119</f>
        <v/>
      </c>
      <c r="F119" s="57">
        <f>'Delphi Round 1'!S119</f>
        <v/>
      </c>
      <c r="G119" s="57">
        <f>'Delphi Round 2'!U119</f>
        <v/>
      </c>
    </row>
    <row r="120">
      <c r="A120" s="57" t="inlineStr">
        <is>
          <t>Prostatic artery embolisation (PAE)</t>
        </is>
      </c>
      <c r="B120" s="57" t="inlineStr">
        <is>
          <t>Contrast reaction/AKI</t>
        </is>
      </c>
      <c r="C120" s="57" t="inlineStr">
        <is>
          <t>Conditional / patient-specific</t>
        </is>
      </c>
      <c r="D120" s="57">
        <f>'Delphi Round 1'!R120</f>
        <v/>
      </c>
      <c r="E120" s="57">
        <f>'Delphi Round 2'!T120</f>
        <v/>
      </c>
      <c r="F120" s="57">
        <f>'Delphi Round 1'!S120</f>
        <v/>
      </c>
      <c r="G120" s="57">
        <f>'Delphi Round 2'!U120</f>
        <v/>
      </c>
    </row>
    <row r="121">
      <c r="A121" s="57" t="inlineStr">
        <is>
          <t>Prostatic artery embolisation (PAE)</t>
        </is>
      </c>
      <c r="B121" s="57" t="inlineStr">
        <is>
          <t>radiation exposure</t>
        </is>
      </c>
      <c r="C121" s="57" t="inlineStr">
        <is>
          <t>Conditional / patient-specific</t>
        </is>
      </c>
      <c r="D121" s="57">
        <f>'Delphi Round 1'!R121</f>
        <v/>
      </c>
      <c r="E121" s="57">
        <f>'Delphi Round 2'!T121</f>
        <v/>
      </c>
      <c r="F121" s="57">
        <f>'Delphi Round 1'!S121</f>
        <v/>
      </c>
      <c r="G121" s="57">
        <f>'Delphi Round 2'!U121</f>
        <v/>
      </c>
    </row>
    <row r="122">
      <c r="A122" s="57" t="inlineStr">
        <is>
          <t>Prostatic artery embolisation (PAE)</t>
        </is>
      </c>
      <c r="B122" s="57" t="inlineStr">
        <is>
          <t>Prostatic arterial anatomy, embolic agent, non-target collateral supply, patient priorities</t>
        </is>
      </c>
      <c r="C122" s="57" t="inlineStr">
        <is>
          <t>Conditional / patient-specific</t>
        </is>
      </c>
      <c r="D122" s="57">
        <f>'Delphi Round 1'!R122</f>
        <v/>
      </c>
      <c r="E122" s="57">
        <f>'Delphi Round 2'!T122</f>
        <v/>
      </c>
      <c r="F122" s="57">
        <f>'Delphi Round 1'!S122</f>
        <v/>
      </c>
      <c r="G122" s="57">
        <f>'Delphi Round 2'!U122</f>
        <v/>
      </c>
    </row>
    <row r="123">
      <c r="A123" s="57" t="inlineStr">
        <is>
          <t>Transarterial chemoembolisation (TACE)</t>
        </is>
      </c>
      <c r="B123" s="57" t="inlineStr">
        <is>
          <t>Post-embolisation symptoms: pain, nausea and fever</t>
        </is>
      </c>
      <c r="C123" s="57" t="inlineStr">
        <is>
          <t>Core candidate</t>
        </is>
      </c>
      <c r="D123" s="57">
        <f>'Delphi Round 1'!R123</f>
        <v/>
      </c>
      <c r="E123" s="57">
        <f>'Delphi Round 2'!T123</f>
        <v/>
      </c>
      <c r="F123" s="57">
        <f>'Delphi Round 1'!S123</f>
        <v/>
      </c>
      <c r="G123" s="57">
        <f>'Delphi Round 2'!U123</f>
        <v/>
      </c>
    </row>
    <row r="124">
      <c r="A124" s="57" t="inlineStr">
        <is>
          <t>Transarterial chemoembolisation (TACE)</t>
        </is>
      </c>
      <c r="B124" s="57" t="inlineStr">
        <is>
          <t>expected in about 30% per CIRSE SOP</t>
        </is>
      </c>
      <c r="C124" s="57" t="inlineStr">
        <is>
          <t>Core candidate</t>
        </is>
      </c>
      <c r="D124" s="57">
        <f>'Delphi Round 1'!R124</f>
        <v/>
      </c>
      <c r="E124" s="57">
        <f>'Delphi Round 2'!T124</f>
        <v/>
      </c>
      <c r="F124" s="57">
        <f>'Delphi Round 1'!S124</f>
        <v/>
      </c>
      <c r="G124" s="57">
        <f>'Delphi Round 2'!U124</f>
        <v/>
      </c>
    </row>
    <row r="125">
      <c r="A125" s="57" t="inlineStr">
        <is>
          <t>Transarterial chemoembolisation (TACE)</t>
        </is>
      </c>
      <c r="B125" s="57" t="inlineStr">
        <is>
          <t>Cholecystitis</t>
        </is>
      </c>
      <c r="C125" s="57" t="inlineStr">
        <is>
          <t>Core candidate</t>
        </is>
      </c>
      <c r="D125" s="57">
        <f>'Delphi Round 1'!R125</f>
        <v/>
      </c>
      <c r="E125" s="57">
        <f>'Delphi Round 2'!T125</f>
        <v/>
      </c>
      <c r="F125" s="57">
        <f>'Delphi Round 1'!S125</f>
        <v/>
      </c>
      <c r="G125" s="57">
        <f>'Delphi Round 2'!U125</f>
        <v/>
      </c>
    </row>
    <row r="126">
      <c r="A126" s="57" t="inlineStr">
        <is>
          <t>Transarterial chemoembolisation (TACE)</t>
        </is>
      </c>
      <c r="B126" s="57" t="inlineStr">
        <is>
          <t>biliary ischaemia/necrosis</t>
        </is>
      </c>
      <c r="C126" s="57" t="inlineStr">
        <is>
          <t>Core candidate</t>
        </is>
      </c>
      <c r="D126" s="57">
        <f>'Delphi Round 1'!R126</f>
        <v/>
      </c>
      <c r="E126" s="57">
        <f>'Delphi Round 2'!T126</f>
        <v/>
      </c>
      <c r="F126" s="57">
        <f>'Delphi Round 1'!S126</f>
        <v/>
      </c>
      <c r="G126" s="57">
        <f>'Delphi Round 2'!U126</f>
        <v/>
      </c>
    </row>
    <row r="127">
      <c r="A127" s="57" t="inlineStr">
        <is>
          <t>Transarterial chemoembolisation (TACE)</t>
        </is>
      </c>
      <c r="B127" s="57" t="inlineStr">
        <is>
          <t>hepatic decompensation</t>
        </is>
      </c>
      <c r="C127" s="57" t="inlineStr">
        <is>
          <t>Core candidate</t>
        </is>
      </c>
      <c r="D127" s="57">
        <f>'Delphi Round 1'!R127</f>
        <v/>
      </c>
      <c r="E127" s="57">
        <f>'Delphi Round 2'!T127</f>
        <v/>
      </c>
      <c r="F127" s="57">
        <f>'Delphi Round 1'!S127</f>
        <v/>
      </c>
      <c r="G127" s="57">
        <f>'Delphi Round 2'!U127</f>
        <v/>
      </c>
    </row>
    <row r="128">
      <c r="A128" s="57" t="inlineStr">
        <is>
          <t>Transarterial chemoembolisation (TACE)</t>
        </is>
      </c>
      <c r="B128" s="57" t="inlineStr">
        <is>
          <t>Liver failure</t>
        </is>
      </c>
      <c r="C128" s="57" t="inlineStr">
        <is>
          <t>Core candidate</t>
        </is>
      </c>
      <c r="D128" s="57">
        <f>'Delphi Round 1'!R128</f>
        <v/>
      </c>
      <c r="E128" s="57">
        <f>'Delphi Round 2'!T128</f>
        <v/>
      </c>
      <c r="F128" s="57">
        <f>'Delphi Round 1'!S128</f>
        <v/>
      </c>
      <c r="G128" s="57">
        <f>'Delphi Round 2'!U128</f>
        <v/>
      </c>
    </row>
    <row r="129">
      <c r="A129" s="57" t="inlineStr">
        <is>
          <t>Transarterial chemoembolisation (TACE)</t>
        </is>
      </c>
      <c r="B129" s="57" t="inlineStr">
        <is>
          <t>abscess/sepsis (risk increased with biliary-enteric communication/instrumentation)</t>
        </is>
      </c>
      <c r="C129" s="57" t="inlineStr">
        <is>
          <t>Core candidate</t>
        </is>
      </c>
      <c r="D129" s="57">
        <f>'Delphi Round 1'!R129</f>
        <v/>
      </c>
      <c r="E129" s="57">
        <f>'Delphi Round 2'!T129</f>
        <v/>
      </c>
      <c r="F129" s="57">
        <f>'Delphi Round 1'!S129</f>
        <v/>
      </c>
      <c r="G129" s="57">
        <f>'Delphi Round 2'!U129</f>
        <v/>
      </c>
    </row>
    <row r="130">
      <c r="A130" s="57" t="inlineStr">
        <is>
          <t>Transarterial chemoembolisation (TACE)</t>
        </is>
      </c>
      <c r="B130" s="57" t="inlineStr">
        <is>
          <t>non-target GI embolisation</t>
        </is>
      </c>
      <c r="C130" s="57" t="inlineStr">
        <is>
          <t>Core candidate</t>
        </is>
      </c>
      <c r="D130" s="57">
        <f>'Delphi Round 1'!R130</f>
        <v/>
      </c>
      <c r="E130" s="57">
        <f>'Delphi Round 2'!T130</f>
        <v/>
      </c>
      <c r="F130" s="57">
        <f>'Delphi Round 1'!S130</f>
        <v/>
      </c>
      <c r="G130" s="57">
        <f>'Delphi Round 2'!U130</f>
        <v/>
      </c>
    </row>
    <row r="131">
      <c r="A131" s="57" t="inlineStr">
        <is>
          <t>Transarterial chemoembolisation (TACE)</t>
        </is>
      </c>
      <c r="B131" s="57" t="inlineStr">
        <is>
          <t>Arterial access bleeding/haematoma</t>
        </is>
      </c>
      <c r="C131" s="57" t="inlineStr">
        <is>
          <t>Core candidate</t>
        </is>
      </c>
      <c r="D131" s="57">
        <f>'Delphi Round 1'!R131</f>
        <v/>
      </c>
      <c r="E131" s="57">
        <f>'Delphi Round 2'!T131</f>
        <v/>
      </c>
      <c r="F131" s="57">
        <f>'Delphi Round 1'!S131</f>
        <v/>
      </c>
      <c r="G131" s="57">
        <f>'Delphi Round 2'!U131</f>
        <v/>
      </c>
    </row>
    <row r="132">
      <c r="A132" s="57" t="inlineStr">
        <is>
          <t>Transarterial chemoembolisation (TACE)</t>
        </is>
      </c>
      <c r="B132" s="57" t="inlineStr">
        <is>
          <t>Contrast reaction/AKI</t>
        </is>
      </c>
      <c r="C132" s="57" t="inlineStr">
        <is>
          <t>Conditional / patient-specific</t>
        </is>
      </c>
      <c r="D132" s="57">
        <f>'Delphi Round 1'!R132</f>
        <v/>
      </c>
      <c r="E132" s="57">
        <f>'Delphi Round 2'!T132</f>
        <v/>
      </c>
      <c r="F132" s="57">
        <f>'Delphi Round 1'!S132</f>
        <v/>
      </c>
      <c r="G132" s="57">
        <f>'Delphi Round 2'!U132</f>
        <v/>
      </c>
    </row>
    <row r="133">
      <c r="A133" s="57" t="inlineStr">
        <is>
          <t>Transarterial chemoembolisation (TACE)</t>
        </is>
      </c>
      <c r="B133" s="57" t="inlineStr">
        <is>
          <t>radiation exposure</t>
        </is>
      </c>
      <c r="C133" s="57" t="inlineStr">
        <is>
          <t>Conditional / patient-specific</t>
        </is>
      </c>
      <c r="D133" s="57">
        <f>'Delphi Round 1'!R133</f>
        <v/>
      </c>
      <c r="E133" s="57">
        <f>'Delphi Round 2'!T133</f>
        <v/>
      </c>
      <c r="F133" s="57">
        <f>'Delphi Round 1'!S133</f>
        <v/>
      </c>
      <c r="G133" s="57">
        <f>'Delphi Round 2'!U133</f>
        <v/>
      </c>
    </row>
    <row r="134">
      <c r="A134" s="57" t="inlineStr">
        <is>
          <t>Transarterial chemoembolisation (TACE)</t>
        </is>
      </c>
      <c r="B134" s="57" t="inlineStr">
        <is>
          <t>Liver reserve, tumour burden, portal flow, biliary instrumentation, embolic technique</t>
        </is>
      </c>
      <c r="C134" s="57" t="inlineStr">
        <is>
          <t>Conditional / patient-specific</t>
        </is>
      </c>
      <c r="D134" s="57">
        <f>'Delphi Round 1'!R134</f>
        <v/>
      </c>
      <c r="E134" s="57">
        <f>'Delphi Round 2'!T134</f>
        <v/>
      </c>
      <c r="F134" s="57">
        <f>'Delphi Round 1'!S134</f>
        <v/>
      </c>
      <c r="G134" s="57">
        <f>'Delphi Round 2'!U134</f>
        <v/>
      </c>
    </row>
    <row r="135">
      <c r="A135" s="57" t="inlineStr">
        <is>
          <t>Thoracic endovascular aortic repair (TEVAR)</t>
        </is>
      </c>
      <c r="B135" s="57" t="inlineStr">
        <is>
          <t>Access bruising/bleeding</t>
        </is>
      </c>
      <c r="C135" s="57" t="inlineStr">
        <is>
          <t>Core candidate</t>
        </is>
      </c>
      <c r="D135" s="57">
        <f>'Delphi Round 1'!R135</f>
        <v/>
      </c>
      <c r="E135" s="57">
        <f>'Delphi Round 2'!T135</f>
        <v/>
      </c>
      <c r="F135" s="57">
        <f>'Delphi Round 1'!S135</f>
        <v/>
      </c>
      <c r="G135" s="57">
        <f>'Delphi Round 2'!U135</f>
        <v/>
      </c>
    </row>
    <row r="136">
      <c r="A136" s="57" t="inlineStr">
        <is>
          <t>Thoracic endovascular aortic repair (TEVAR)</t>
        </is>
      </c>
      <c r="B136" s="57" t="inlineStr">
        <is>
          <t>possible reintervention</t>
        </is>
      </c>
      <c r="C136" s="57" t="inlineStr">
        <is>
          <t>Core candidate</t>
        </is>
      </c>
      <c r="D136" s="57">
        <f>'Delphi Round 1'!R136</f>
        <v/>
      </c>
      <c r="E136" s="57">
        <f>'Delphi Round 2'!T136</f>
        <v/>
      </c>
      <c r="F136" s="57">
        <f>'Delphi Round 1'!S136</f>
        <v/>
      </c>
      <c r="G136" s="57">
        <f>'Delphi Round 2'!U136</f>
        <v/>
      </c>
    </row>
    <row r="137">
      <c r="A137" s="57" t="inlineStr">
        <is>
          <t>Thoracic endovascular aortic repair (TEVAR)</t>
        </is>
      </c>
      <c r="B137" s="57" t="inlineStr">
        <is>
          <t>Stroke</t>
        </is>
      </c>
      <c r="C137" s="57" t="inlineStr">
        <is>
          <t>Core candidate</t>
        </is>
      </c>
      <c r="D137" s="57">
        <f>'Delphi Round 1'!R137</f>
        <v/>
      </c>
      <c r="E137" s="57">
        <f>'Delphi Round 2'!T137</f>
        <v/>
      </c>
      <c r="F137" s="57">
        <f>'Delphi Round 1'!S137</f>
        <v/>
      </c>
      <c r="G137" s="57">
        <f>'Delphi Round 2'!U137</f>
        <v/>
      </c>
    </row>
    <row r="138">
      <c r="A138" s="57" t="inlineStr">
        <is>
          <t>Thoracic endovascular aortic repair (TEVAR)</t>
        </is>
      </c>
      <c r="B138" s="57" t="inlineStr">
        <is>
          <t>endoleak</t>
        </is>
      </c>
      <c r="C138" s="57" t="inlineStr">
        <is>
          <t>Core candidate</t>
        </is>
      </c>
      <c r="D138" s="57">
        <f>'Delphi Round 1'!R138</f>
        <v/>
      </c>
      <c r="E138" s="57">
        <f>'Delphi Round 2'!T138</f>
        <v/>
      </c>
      <c r="F138" s="57">
        <f>'Delphi Round 1'!S138</f>
        <v/>
      </c>
      <c r="G138" s="57">
        <f>'Delphi Round 2'!U138</f>
        <v/>
      </c>
    </row>
    <row r="139">
      <c r="A139" s="57" t="inlineStr">
        <is>
          <t>Thoracic endovascular aortic repair (TEVAR)</t>
        </is>
      </c>
      <c r="B139" s="57" t="inlineStr">
        <is>
          <t>retrograde dissection</t>
        </is>
      </c>
      <c r="C139" s="57" t="inlineStr">
        <is>
          <t>Core candidate</t>
        </is>
      </c>
      <c r="D139" s="57">
        <f>'Delphi Round 1'!R139</f>
        <v/>
      </c>
      <c r="E139" s="57">
        <f>'Delphi Round 2'!T139</f>
        <v/>
      </c>
      <c r="F139" s="57">
        <f>'Delphi Round 1'!S139</f>
        <v/>
      </c>
      <c r="G139" s="57">
        <f>'Delphi Round 2'!U139</f>
        <v/>
      </c>
    </row>
    <row r="140">
      <c r="A140" s="57" t="inlineStr">
        <is>
          <t>Thoracic endovascular aortic repair (TEVAR)</t>
        </is>
      </c>
      <c r="B140" s="57" t="inlineStr">
        <is>
          <t>graft failure</t>
        </is>
      </c>
      <c r="C140" s="57" t="inlineStr">
        <is>
          <t>Core candidate</t>
        </is>
      </c>
      <c r="D140" s="57">
        <f>'Delphi Round 1'!R140</f>
        <v/>
      </c>
      <c r="E140" s="57">
        <f>'Delphi Round 2'!T140</f>
        <v/>
      </c>
      <c r="F140" s="57">
        <f>'Delphi Round 1'!S140</f>
        <v/>
      </c>
      <c r="G140" s="57">
        <f>'Delphi Round 2'!U140</f>
        <v/>
      </c>
    </row>
    <row r="141">
      <c r="A141" s="57" t="inlineStr">
        <is>
          <t>Thoracic endovascular aortic repair (TEVAR)</t>
        </is>
      </c>
      <c r="B141" s="57" t="inlineStr">
        <is>
          <t>renal/visceral/limb malperfusion</t>
        </is>
      </c>
      <c r="C141" s="57" t="inlineStr">
        <is>
          <t>Core candidate</t>
        </is>
      </c>
      <c r="D141" s="57">
        <f>'Delphi Round 1'!R141</f>
        <v/>
      </c>
      <c r="E141" s="57">
        <f>'Delphi Round 2'!T141</f>
        <v/>
      </c>
      <c r="F141" s="57">
        <f>'Delphi Round 1'!S141</f>
        <v/>
      </c>
      <c r="G141" s="57">
        <f>'Delphi Round 2'!U141</f>
        <v/>
      </c>
    </row>
    <row r="142">
      <c r="A142" s="57" t="inlineStr">
        <is>
          <t>Thoracic endovascular aortic repair (TEVAR)</t>
        </is>
      </c>
      <c r="B142" s="57" t="inlineStr">
        <is>
          <t>Spinal cord ischaemia/paraplegia</t>
        </is>
      </c>
      <c r="C142" s="57" t="inlineStr">
        <is>
          <t>Core candidate</t>
        </is>
      </c>
      <c r="D142" s="57">
        <f>'Delphi Round 1'!R142</f>
        <v/>
      </c>
      <c r="E142" s="57">
        <f>'Delphi Round 2'!T142</f>
        <v/>
      </c>
      <c r="F142" s="57">
        <f>'Delphi Round 1'!S142</f>
        <v/>
      </c>
      <c r="G142" s="57">
        <f>'Delphi Round 2'!U142</f>
        <v/>
      </c>
    </row>
    <row r="143">
      <c r="A143" s="57" t="inlineStr">
        <is>
          <t>Thoracic endovascular aortic repair (TEVAR)</t>
        </is>
      </c>
      <c r="B143" s="57" t="inlineStr">
        <is>
          <t>aortic rupture/death</t>
        </is>
      </c>
      <c r="C143" s="57" t="inlineStr">
        <is>
          <t>Core candidate</t>
        </is>
      </c>
      <c r="D143" s="57">
        <f>'Delphi Round 1'!R143</f>
        <v/>
      </c>
      <c r="E143" s="57">
        <f>'Delphi Round 2'!T143</f>
        <v/>
      </c>
      <c r="F143" s="57">
        <f>'Delphi Round 1'!S143</f>
        <v/>
      </c>
      <c r="G143" s="57">
        <f>'Delphi Round 2'!U143</f>
        <v/>
      </c>
    </row>
    <row r="144">
      <c r="A144" s="57" t="inlineStr">
        <is>
          <t>Thoracic endovascular aortic repair (TEVAR)</t>
        </is>
      </c>
      <c r="B144" s="57" t="inlineStr">
        <is>
          <t>Iliac/femoral injury, bleeding, rupture or limb ischaemia</t>
        </is>
      </c>
      <c r="C144" s="57" t="inlineStr">
        <is>
          <t>Core candidate</t>
        </is>
      </c>
      <c r="D144" s="57">
        <f>'Delphi Round 1'!R144</f>
        <v/>
      </c>
      <c r="E144" s="57">
        <f>'Delphi Round 2'!T144</f>
        <v/>
      </c>
      <c r="F144" s="57">
        <f>'Delphi Round 1'!S144</f>
        <v/>
      </c>
      <c r="G144" s="57">
        <f>'Delphi Round 2'!U144</f>
        <v/>
      </c>
    </row>
    <row r="145">
      <c r="A145" s="57" t="inlineStr">
        <is>
          <t>Thoracic endovascular aortic repair (TEVAR)</t>
        </is>
      </c>
      <c r="B145" s="57" t="inlineStr">
        <is>
          <t>Contrast reaction/AKI and radiation</t>
        </is>
      </c>
      <c r="C145" s="57" t="inlineStr">
        <is>
          <t>Conditional / patient-specific</t>
        </is>
      </c>
      <c r="D145" s="57">
        <f>'Delphi Round 1'!R145</f>
        <v/>
      </c>
      <c r="E145" s="57">
        <f>'Delphi Round 2'!T145</f>
        <v/>
      </c>
      <c r="F145" s="57">
        <f>'Delphi Round 1'!S145</f>
        <v/>
      </c>
      <c r="G145" s="57">
        <f>'Delphi Round 2'!U145</f>
        <v/>
      </c>
    </row>
    <row r="146">
      <c r="A146" s="57" t="inlineStr">
        <is>
          <t>Thoracic endovascular aortic repair (TEVAR)</t>
        </is>
      </c>
      <c r="B146" s="57" t="inlineStr">
        <is>
          <t>Aortic coverage length, collateral circulation, previous repair, indication, access anatomy</t>
        </is>
      </c>
      <c r="C146" s="57" t="inlineStr">
        <is>
          <t>Conditional / patient-specific</t>
        </is>
      </c>
      <c r="D146" s="57">
        <f>'Delphi Round 1'!R146</f>
        <v/>
      </c>
      <c r="E146" s="57">
        <f>'Delphi Round 2'!T146</f>
        <v/>
      </c>
      <c r="F146" s="57">
        <f>'Delphi Round 1'!S146</f>
        <v/>
      </c>
      <c r="G146" s="57">
        <f>'Delphi Round 2'!U146</f>
        <v/>
      </c>
    </row>
    <row r="147">
      <c r="A147" s="57" t="inlineStr">
        <is>
          <t>Thrombolysis of dialysis access</t>
        </is>
      </c>
      <c r="B147" s="57" t="inlineStr">
        <is>
          <t>Access bleeding/haematoma</t>
        </is>
      </c>
      <c r="C147" s="57" t="inlineStr">
        <is>
          <t>Core candidate</t>
        </is>
      </c>
      <c r="D147" s="57">
        <f>'Delphi Round 1'!R147</f>
        <v/>
      </c>
      <c r="E147" s="57">
        <f>'Delphi Round 2'!T147</f>
        <v/>
      </c>
      <c r="F147" s="57">
        <f>'Delphi Round 1'!S147</f>
        <v/>
      </c>
      <c r="G147" s="57">
        <f>'Delphi Round 2'!U147</f>
        <v/>
      </c>
    </row>
    <row r="148">
      <c r="A148" s="57" t="inlineStr">
        <is>
          <t>Thrombolysis of dialysis access</t>
        </is>
      </c>
      <c r="B148" s="57" t="inlineStr">
        <is>
          <t>failure or early rethrombosis</t>
        </is>
      </c>
      <c r="C148" s="57" t="inlineStr">
        <is>
          <t>Core candidate</t>
        </is>
      </c>
      <c r="D148" s="57">
        <f>'Delphi Round 1'!R148</f>
        <v/>
      </c>
      <c r="E148" s="57">
        <f>'Delphi Round 2'!T148</f>
        <v/>
      </c>
      <c r="F148" s="57">
        <f>'Delphi Round 1'!S148</f>
        <v/>
      </c>
      <c r="G148" s="57">
        <f>'Delphi Round 2'!U148</f>
        <v/>
      </c>
    </row>
    <row r="149">
      <c r="A149" s="57" t="inlineStr">
        <is>
          <t>Thrombolysis of dialysis access</t>
        </is>
      </c>
      <c r="B149" s="57" t="inlineStr">
        <is>
          <t>Access rupture/extravasation</t>
        </is>
      </c>
      <c r="C149" s="57" t="inlineStr">
        <is>
          <t>Core candidate</t>
        </is>
      </c>
      <c r="D149" s="57">
        <f>'Delphi Round 1'!R149</f>
        <v/>
      </c>
      <c r="E149" s="57">
        <f>'Delphi Round 2'!T149</f>
        <v/>
      </c>
      <c r="F149" s="57">
        <f>'Delphi Round 1'!S149</f>
        <v/>
      </c>
      <c r="G149" s="57">
        <f>'Delphi Round 2'!U149</f>
        <v/>
      </c>
    </row>
    <row r="150">
      <c r="A150" s="57" t="inlineStr">
        <is>
          <t>Thrombolysis of dialysis access</t>
        </is>
      </c>
      <c r="B150" s="57" t="inlineStr">
        <is>
          <t>distal embolisation/hand ischaemia</t>
        </is>
      </c>
      <c r="C150" s="57" t="inlineStr">
        <is>
          <t>Core candidate</t>
        </is>
      </c>
      <c r="D150" s="57">
        <f>'Delphi Round 1'!R150</f>
        <v/>
      </c>
      <c r="E150" s="57">
        <f>'Delphi Round 2'!T150</f>
        <v/>
      </c>
      <c r="F150" s="57">
        <f>'Delphi Round 1'!S150</f>
        <v/>
      </c>
      <c r="G150" s="57">
        <f>'Delphi Round 2'!U150</f>
        <v/>
      </c>
    </row>
    <row r="151">
      <c r="A151" s="57" t="inlineStr">
        <is>
          <t>Thrombolysis of dialysis access</t>
        </is>
      </c>
      <c r="B151" s="57" t="inlineStr">
        <is>
          <t>repeat treatment</t>
        </is>
      </c>
      <c r="C151" s="57" t="inlineStr">
        <is>
          <t>Core candidate</t>
        </is>
      </c>
      <c r="D151" s="57">
        <f>'Delphi Round 1'!R151</f>
        <v/>
      </c>
      <c r="E151" s="57">
        <f>'Delphi Round 2'!T151</f>
        <v/>
      </c>
      <c r="F151" s="57">
        <f>'Delphi Round 1'!S151</f>
        <v/>
      </c>
      <c r="G151" s="57">
        <f>'Delphi Round 2'!U151</f>
        <v/>
      </c>
    </row>
    <row r="152">
      <c r="A152" s="57" t="inlineStr">
        <is>
          <t>Thrombolysis of dialysis access</t>
        </is>
      </c>
      <c r="B152" s="57" t="inlineStr">
        <is>
          <t>Systemic haemorrhage including intracranial bleeding when thrombolytic used</t>
        </is>
      </c>
      <c r="C152" s="57" t="inlineStr">
        <is>
          <t>Core candidate</t>
        </is>
      </c>
      <c r="D152" s="57">
        <f>'Delphi Round 1'!R152</f>
        <v/>
      </c>
      <c r="E152" s="57">
        <f>'Delphi Round 2'!T152</f>
        <v/>
      </c>
      <c r="F152" s="57">
        <f>'Delphi Round 1'!S152</f>
        <v/>
      </c>
      <c r="G152" s="57">
        <f>'Delphi Round 2'!U152</f>
        <v/>
      </c>
    </row>
    <row r="153">
      <c r="A153" s="57" t="inlineStr">
        <is>
          <t>Thrombolysis of dialysis access</t>
        </is>
      </c>
      <c r="B153" s="57" t="inlineStr">
        <is>
          <t>permanent access loss</t>
        </is>
      </c>
      <c r="C153" s="57" t="inlineStr">
        <is>
          <t>Core candidate</t>
        </is>
      </c>
      <c r="D153" s="57">
        <f>'Delphi Round 1'!R153</f>
        <v/>
      </c>
      <c r="E153" s="57">
        <f>'Delphi Round 2'!T153</f>
        <v/>
      </c>
      <c r="F153" s="57">
        <f>'Delphi Round 1'!S153</f>
        <v/>
      </c>
      <c r="G153" s="57">
        <f>'Delphi Round 2'!U153</f>
        <v/>
      </c>
    </row>
    <row r="154">
      <c r="A154" s="57" t="inlineStr">
        <is>
          <t>Thrombolysis of dialysis access</t>
        </is>
      </c>
      <c r="B154" s="57" t="inlineStr">
        <is>
          <t>Access puncture bleeding, haematoma, vessel injury</t>
        </is>
      </c>
      <c r="C154" s="57" t="inlineStr">
        <is>
          <t>Core candidate</t>
        </is>
      </c>
      <c r="D154" s="57">
        <f>'Delphi Round 1'!R154</f>
        <v/>
      </c>
      <c r="E154" s="57">
        <f>'Delphi Round 2'!T154</f>
        <v/>
      </c>
      <c r="F154" s="57">
        <f>'Delphi Round 1'!S154</f>
        <v/>
      </c>
      <c r="G154" s="57">
        <f>'Delphi Round 2'!U154</f>
        <v/>
      </c>
    </row>
    <row r="155">
      <c r="A155" s="57" t="inlineStr">
        <is>
          <t>Thrombolysis of dialysis access</t>
        </is>
      </c>
      <c r="B155" s="57" t="inlineStr">
        <is>
          <t>Contrast reaction/AKI as relevant</t>
        </is>
      </c>
      <c r="C155" s="57" t="inlineStr">
        <is>
          <t>Conditional / patient-specific</t>
        </is>
      </c>
      <c r="D155" s="57">
        <f>'Delphi Round 1'!R155</f>
        <v/>
      </c>
      <c r="E155" s="57">
        <f>'Delphi Round 2'!T155</f>
        <v/>
      </c>
      <c r="F155" s="57">
        <f>'Delphi Round 1'!S155</f>
        <v/>
      </c>
      <c r="G155" s="57">
        <f>'Delphi Round 2'!U155</f>
        <v/>
      </c>
    </row>
    <row r="156">
      <c r="A156" s="57" t="inlineStr">
        <is>
          <t>Thrombolysis of dialysis access</t>
        </is>
      </c>
      <c r="B156" s="57" t="inlineStr">
        <is>
          <t>radiation exposure</t>
        </is>
      </c>
      <c r="C156" s="57" t="inlineStr">
        <is>
          <t>Conditional / patient-specific</t>
        </is>
      </c>
      <c r="D156" s="57">
        <f>'Delphi Round 1'!R156</f>
        <v/>
      </c>
      <c r="E156" s="57">
        <f>'Delphi Round 2'!T156</f>
        <v/>
      </c>
      <c r="F156" s="57">
        <f>'Delphi Round 1'!S156</f>
        <v/>
      </c>
      <c r="G156" s="57">
        <f>'Delphi Round 2'!U156</f>
        <v/>
      </c>
    </row>
    <row r="157">
      <c r="A157" s="57" t="inlineStr">
        <is>
          <t>Thrombolysis of dialysis access</t>
        </is>
      </c>
      <c r="B157" s="57" t="inlineStr">
        <is>
          <t>Thrombolytic vs mechanical technique, coagulopathy, recent bleeding, access anatomy</t>
        </is>
      </c>
      <c r="C157" s="57" t="inlineStr">
        <is>
          <t>Conditional / patient-specific</t>
        </is>
      </c>
      <c r="D157" s="57">
        <f>'Delphi Round 1'!R157</f>
        <v/>
      </c>
      <c r="E157" s="57">
        <f>'Delphi Round 2'!T157</f>
        <v/>
      </c>
      <c r="F157" s="57">
        <f>'Delphi Round 1'!S157</f>
        <v/>
      </c>
      <c r="G157" s="57">
        <f>'Delphi Round 2'!U157</f>
        <v/>
      </c>
    </row>
    <row r="158">
      <c r="A158" s="57" t="inlineStr">
        <is>
          <t>PTA of dialysis access</t>
        </is>
      </c>
      <c r="B158" s="57" t="inlineStr">
        <is>
          <t>Access-site pain/bleeding</t>
        </is>
      </c>
      <c r="C158" s="57" t="inlineStr">
        <is>
          <t>Core candidate</t>
        </is>
      </c>
      <c r="D158" s="57">
        <f>'Delphi Round 1'!R158</f>
        <v/>
      </c>
      <c r="E158" s="57">
        <f>'Delphi Round 2'!T158</f>
        <v/>
      </c>
      <c r="F158" s="57">
        <f>'Delphi Round 1'!S158</f>
        <v/>
      </c>
      <c r="G158" s="57">
        <f>'Delphi Round 2'!U158</f>
        <v/>
      </c>
    </row>
    <row r="159">
      <c r="A159" s="57" t="inlineStr">
        <is>
          <t>PTA of dialysis access</t>
        </is>
      </c>
      <c r="B159" s="57" t="inlineStr">
        <is>
          <t>restenosis/recurrent dysfunction</t>
        </is>
      </c>
      <c r="C159" s="57" t="inlineStr">
        <is>
          <t>Core candidate</t>
        </is>
      </c>
      <c r="D159" s="57">
        <f>'Delphi Round 1'!R159</f>
        <v/>
      </c>
      <c r="E159" s="57">
        <f>'Delphi Round 2'!T159</f>
        <v/>
      </c>
      <c r="F159" s="57">
        <f>'Delphi Round 1'!S159</f>
        <v/>
      </c>
      <c r="G159" s="57">
        <f>'Delphi Round 2'!U159</f>
        <v/>
      </c>
    </row>
    <row r="160">
      <c r="A160" s="57" t="inlineStr">
        <is>
          <t>PTA of dialysis access</t>
        </is>
      </c>
      <c r="B160" s="57" t="inlineStr">
        <is>
          <t>Dissection, rupture/extravasation, thrombosis, distal embolisation or worsening steal/hand ischaemia</t>
        </is>
      </c>
      <c r="C160" s="57" t="inlineStr">
        <is>
          <t>Core candidate</t>
        </is>
      </c>
      <c r="D160" s="57">
        <f>'Delphi Round 1'!R160</f>
        <v/>
      </c>
      <c r="E160" s="57">
        <f>'Delphi Round 2'!T160</f>
        <v/>
      </c>
      <c r="F160" s="57">
        <f>'Delphi Round 1'!S160</f>
        <v/>
      </c>
      <c r="G160" s="57">
        <f>'Delphi Round 2'!U160</f>
        <v/>
      </c>
    </row>
    <row r="161">
      <c r="A161" s="57" t="inlineStr">
        <is>
          <t>PTA of dialysis access</t>
        </is>
      </c>
      <c r="B161" s="57" t="inlineStr">
        <is>
          <t>Acute access loss</t>
        </is>
      </c>
      <c r="C161" s="57" t="inlineStr">
        <is>
          <t>Core candidate</t>
        </is>
      </c>
      <c r="D161" s="57">
        <f>'Delphi Round 1'!R161</f>
        <v/>
      </c>
      <c r="E161" s="57">
        <f>'Delphi Round 2'!T161</f>
        <v/>
      </c>
      <c r="F161" s="57">
        <f>'Delphi Round 1'!S161</f>
        <v/>
      </c>
      <c r="G161" s="57">
        <f>'Delphi Round 2'!U161</f>
        <v/>
      </c>
    </row>
    <row r="162">
      <c r="A162" s="57" t="inlineStr">
        <is>
          <t>PTA of dialysis access</t>
        </is>
      </c>
      <c r="B162" s="57" t="inlineStr">
        <is>
          <t>repeat procedure or surgery</t>
        </is>
      </c>
      <c r="C162" s="57" t="inlineStr">
        <is>
          <t>Core candidate</t>
        </is>
      </c>
      <c r="D162" s="57">
        <f>'Delphi Round 1'!R162</f>
        <v/>
      </c>
      <c r="E162" s="57">
        <f>'Delphi Round 2'!T162</f>
        <v/>
      </c>
      <c r="F162" s="57">
        <f>'Delphi Round 1'!S162</f>
        <v/>
      </c>
      <c r="G162" s="57">
        <f>'Delphi Round 2'!U162</f>
        <v/>
      </c>
    </row>
    <row r="163">
      <c r="A163" s="57" t="inlineStr">
        <is>
          <t>PTA of dialysis access</t>
        </is>
      </c>
      <c r="B163" s="57" t="inlineStr">
        <is>
          <t>Access puncture bleeding/haematoma</t>
        </is>
      </c>
      <c r="C163" s="57" t="inlineStr">
        <is>
          <t>Core candidate</t>
        </is>
      </c>
      <c r="D163" s="57">
        <f>'Delphi Round 1'!R163</f>
        <v/>
      </c>
      <c r="E163" s="57">
        <f>'Delphi Round 2'!T163</f>
        <v/>
      </c>
      <c r="F163" s="57">
        <f>'Delphi Round 1'!S163</f>
        <v/>
      </c>
      <c r="G163" s="57">
        <f>'Delphi Round 2'!U163</f>
        <v/>
      </c>
    </row>
    <row r="164">
      <c r="A164" s="57" t="inlineStr">
        <is>
          <t>PTA of dialysis access</t>
        </is>
      </c>
      <c r="B164" s="57" t="inlineStr">
        <is>
          <t>access rupture</t>
        </is>
      </c>
      <c r="C164" s="57" t="inlineStr">
        <is>
          <t>Core candidate</t>
        </is>
      </c>
      <c r="D164" s="57">
        <f>'Delphi Round 1'!R164</f>
        <v/>
      </c>
      <c r="E164" s="57">
        <f>'Delphi Round 2'!T164</f>
        <v/>
      </c>
      <c r="F164" s="57">
        <f>'Delphi Round 1'!S164</f>
        <v/>
      </c>
      <c r="G164" s="57">
        <f>'Delphi Round 2'!U164</f>
        <v/>
      </c>
    </row>
    <row r="165">
      <c r="A165" s="57" t="inlineStr">
        <is>
          <t>PTA of dialysis access</t>
        </is>
      </c>
      <c r="B165" s="57" t="inlineStr">
        <is>
          <t>Contrast reaction/AKI as relevant</t>
        </is>
      </c>
      <c r="C165" s="57" t="inlineStr">
        <is>
          <t>Conditional / patient-specific</t>
        </is>
      </c>
      <c r="D165" s="57">
        <f>'Delphi Round 1'!R165</f>
        <v/>
      </c>
      <c r="E165" s="57">
        <f>'Delphi Round 2'!T165</f>
        <v/>
      </c>
      <c r="F165" s="57">
        <f>'Delphi Round 1'!S165</f>
        <v/>
      </c>
      <c r="G165" s="57">
        <f>'Delphi Round 2'!U165</f>
        <v/>
      </c>
    </row>
    <row r="166">
      <c r="A166" s="57" t="inlineStr">
        <is>
          <t>PTA of dialysis access</t>
        </is>
      </c>
      <c r="B166" s="57" t="inlineStr">
        <is>
          <t>radiation exposure</t>
        </is>
      </c>
      <c r="C166" s="57" t="inlineStr">
        <is>
          <t>Conditional / patient-specific</t>
        </is>
      </c>
      <c r="D166" s="57">
        <f>'Delphi Round 1'!R166</f>
        <v/>
      </c>
      <c r="E166" s="57">
        <f>'Delphi Round 2'!T166</f>
        <v/>
      </c>
      <c r="F166" s="57">
        <f>'Delphi Round 1'!S166</f>
        <v/>
      </c>
      <c r="G166" s="57">
        <f>'Delphi Round 2'!U166</f>
        <v/>
      </c>
    </row>
    <row r="167">
      <c r="A167" s="57" t="inlineStr">
        <is>
          <t>PTA of dialysis access</t>
        </is>
      </c>
      <c r="B167" s="57" t="inlineStr">
        <is>
          <t>Fistula vs graft, lesion site, balloon/stent device and baseline hand perfusion</t>
        </is>
      </c>
      <c r="C167" s="57" t="inlineStr">
        <is>
          <t>Conditional / patient-specific</t>
        </is>
      </c>
      <c r="D167" s="57">
        <f>'Delphi Round 1'!R167</f>
        <v/>
      </c>
      <c r="E167" s="57">
        <f>'Delphi Round 2'!T167</f>
        <v/>
      </c>
      <c r="F167" s="57">
        <f>'Delphi Round 1'!S167</f>
        <v/>
      </c>
      <c r="G167" s="57">
        <f>'Delphi Round 2'!U167</f>
        <v/>
      </c>
    </row>
    <row r="168">
      <c r="A168" s="57" t="inlineStr">
        <is>
          <t>Transjugular intrahepatic portosystemic shunt (TIPS)</t>
        </is>
      </c>
      <c r="B168" s="57" t="inlineStr">
        <is>
          <t>Neck discomfort</t>
        </is>
      </c>
      <c r="C168" s="57" t="inlineStr">
        <is>
          <t>Core candidate</t>
        </is>
      </c>
      <c r="D168" s="57">
        <f>'Delphi Round 1'!R168</f>
        <v/>
      </c>
      <c r="E168" s="57">
        <f>'Delphi Round 2'!T168</f>
        <v/>
      </c>
      <c r="F168" s="57">
        <f>'Delphi Round 1'!S168</f>
        <v/>
      </c>
      <c r="G168" s="57">
        <f>'Delphi Round 2'!U168</f>
        <v/>
      </c>
    </row>
    <row r="169">
      <c r="A169" s="57" t="inlineStr">
        <is>
          <t>Transjugular intrahepatic portosystemic shunt (TIPS)</t>
        </is>
      </c>
      <c r="B169" s="57" t="inlineStr">
        <is>
          <t>possible breathlessness/volume shift depending on patient</t>
        </is>
      </c>
      <c r="C169" s="57" t="inlineStr">
        <is>
          <t>Core candidate</t>
        </is>
      </c>
      <c r="D169" s="57">
        <f>'Delphi Round 1'!R169</f>
        <v/>
      </c>
      <c r="E169" s="57">
        <f>'Delphi Round 2'!T169</f>
        <v/>
      </c>
      <c r="F169" s="57">
        <f>'Delphi Round 1'!S169</f>
        <v/>
      </c>
      <c r="G169" s="57">
        <f>'Delphi Round 2'!U169</f>
        <v/>
      </c>
    </row>
    <row r="170">
      <c r="A170" s="57" t="inlineStr">
        <is>
          <t>Transjugular intrahepatic portosystemic shunt (TIPS)</t>
        </is>
      </c>
      <c r="B170" s="57" t="inlineStr">
        <is>
          <t>New or worsened hepatic encephalopathy</t>
        </is>
      </c>
      <c r="C170" s="57" t="inlineStr">
        <is>
          <t>Core candidate</t>
        </is>
      </c>
      <c r="D170" s="57">
        <f>'Delphi Round 1'!R170</f>
        <v/>
      </c>
      <c r="E170" s="57">
        <f>'Delphi Round 2'!T170</f>
        <v/>
      </c>
      <c r="F170" s="57">
        <f>'Delphi Round 1'!S170</f>
        <v/>
      </c>
      <c r="G170" s="57">
        <f>'Delphi Round 2'!U170</f>
        <v/>
      </c>
    </row>
    <row r="171">
      <c r="A171" s="57" t="inlineStr">
        <is>
          <t>Transjugular intrahepatic portosystemic shunt (TIPS)</t>
        </is>
      </c>
      <c r="B171" s="57" t="inlineStr">
        <is>
          <t>shunt dysfunction/stenosis/thrombosis</t>
        </is>
      </c>
      <c r="C171" s="57" t="inlineStr">
        <is>
          <t>Core candidate</t>
        </is>
      </c>
      <c r="D171" s="57">
        <f>'Delphi Round 1'!R171</f>
        <v/>
      </c>
      <c r="E171" s="57">
        <f>'Delphi Round 2'!T171</f>
        <v/>
      </c>
      <c r="F171" s="57">
        <f>'Delphi Round 1'!S171</f>
        <v/>
      </c>
      <c r="G171" s="57">
        <f>'Delphi Round 2'!U171</f>
        <v/>
      </c>
    </row>
    <row r="172">
      <c r="A172" s="57" t="inlineStr">
        <is>
          <t>Transjugular intrahepatic portosystemic shunt (TIPS)</t>
        </is>
      </c>
      <c r="B172" s="57" t="inlineStr">
        <is>
          <t>hepatic decompensation</t>
        </is>
      </c>
      <c r="C172" s="57" t="inlineStr">
        <is>
          <t>Core candidate</t>
        </is>
      </c>
      <c r="D172" s="57">
        <f>'Delphi Round 1'!R172</f>
        <v/>
      </c>
      <c r="E172" s="57">
        <f>'Delphi Round 2'!T172</f>
        <v/>
      </c>
      <c r="F172" s="57">
        <f>'Delphi Round 1'!S172</f>
        <v/>
      </c>
      <c r="G172" s="57">
        <f>'Delphi Round 2'!U172</f>
        <v/>
      </c>
    </row>
    <row r="173">
      <c r="A173" s="57" t="inlineStr">
        <is>
          <t>Transjugular intrahepatic portosystemic shunt (TIPS)</t>
        </is>
      </c>
      <c r="B173" s="57" t="inlineStr">
        <is>
          <t>Capsular puncture/intra-abdominal haemorrhage, biliary/portal injury, cardiac failure/volume overload, liver failure or death</t>
        </is>
      </c>
      <c r="C173" s="57" t="inlineStr">
        <is>
          <t>Core candidate</t>
        </is>
      </c>
      <c r="D173" s="57">
        <f>'Delphi Round 1'!R173</f>
        <v/>
      </c>
      <c r="E173" s="57">
        <f>'Delphi Round 2'!T173</f>
        <v/>
      </c>
      <c r="F173" s="57">
        <f>'Delphi Round 1'!S173</f>
        <v/>
      </c>
      <c r="G173" s="57">
        <f>'Delphi Round 2'!U173</f>
        <v/>
      </c>
    </row>
    <row r="174">
      <c r="A174" s="57" t="inlineStr">
        <is>
          <t>Transjugular intrahepatic portosystemic shunt (TIPS)</t>
        </is>
      </c>
      <c r="B174" s="57" t="inlineStr">
        <is>
          <t>Neck puncture bleeding/haematoma</t>
        </is>
      </c>
      <c r="C174" s="57" t="inlineStr">
        <is>
          <t>Core candidate</t>
        </is>
      </c>
      <c r="D174" s="57">
        <f>'Delphi Round 1'!R174</f>
        <v/>
      </c>
      <c r="E174" s="57">
        <f>'Delphi Round 2'!T174</f>
        <v/>
      </c>
      <c r="F174" s="57">
        <f>'Delphi Round 1'!S174</f>
        <v/>
      </c>
      <c r="G174" s="57">
        <f>'Delphi Round 2'!U174</f>
        <v/>
      </c>
    </row>
    <row r="175">
      <c r="A175" s="57" t="inlineStr">
        <is>
          <t>Transjugular intrahepatic portosystemic shunt (TIPS)</t>
        </is>
      </c>
      <c r="B175" s="57" t="inlineStr">
        <is>
          <t>inadvertent arterial puncture</t>
        </is>
      </c>
      <c r="C175" s="57" t="inlineStr">
        <is>
          <t>Core candidate</t>
        </is>
      </c>
      <c r="D175" s="57">
        <f>'Delphi Round 1'!R175</f>
        <v/>
      </c>
      <c r="E175" s="57">
        <f>'Delphi Round 2'!T175</f>
        <v/>
      </c>
      <c r="F175" s="57">
        <f>'Delphi Round 1'!S175</f>
        <v/>
      </c>
      <c r="G175" s="57">
        <f>'Delphi Round 2'!U175</f>
        <v/>
      </c>
    </row>
    <row r="176">
      <c r="A176" s="57" t="inlineStr">
        <is>
          <t>Transjugular intrahepatic portosystemic shunt (TIPS)</t>
        </is>
      </c>
      <c r="B176" s="57" t="inlineStr">
        <is>
          <t>Contrast reaction/AKI</t>
        </is>
      </c>
      <c r="C176" s="57" t="inlineStr">
        <is>
          <t>Conditional / patient-specific</t>
        </is>
      </c>
      <c r="D176" s="57">
        <f>'Delphi Round 1'!R176</f>
        <v/>
      </c>
      <c r="E176" s="57">
        <f>'Delphi Round 2'!T176</f>
        <v/>
      </c>
      <c r="F176" s="57">
        <f>'Delphi Round 1'!S176</f>
        <v/>
      </c>
      <c r="G176" s="57">
        <f>'Delphi Round 2'!U176</f>
        <v/>
      </c>
    </row>
    <row r="177">
      <c r="A177" s="57" t="inlineStr">
        <is>
          <t>Transjugular intrahepatic portosystemic shunt (TIPS)</t>
        </is>
      </c>
      <c r="B177" s="57" t="inlineStr">
        <is>
          <t>radiation</t>
        </is>
      </c>
      <c r="C177" s="57" t="inlineStr">
        <is>
          <t>Conditional / patient-specific</t>
        </is>
      </c>
      <c r="D177" s="57">
        <f>'Delphi Round 1'!R177</f>
        <v/>
      </c>
      <c r="E177" s="57">
        <f>'Delphi Round 2'!T177</f>
        <v/>
      </c>
      <c r="F177" s="57">
        <f>'Delphi Round 1'!S177</f>
        <v/>
      </c>
      <c r="G177" s="57">
        <f>'Delphi Round 2'!U177</f>
        <v/>
      </c>
    </row>
    <row r="178">
      <c r="A178" s="57" t="inlineStr">
        <is>
          <t>Transjugular intrahepatic portosystemic shunt (TIPS)</t>
        </is>
      </c>
      <c r="B178" s="57" t="inlineStr">
        <is>
          <t>anaesthetic risk if GA used</t>
        </is>
      </c>
      <c r="C178" s="57" t="inlineStr">
        <is>
          <t>Conditional / patient-specific</t>
        </is>
      </c>
      <c r="D178" s="57">
        <f>'Delphi Round 1'!R178</f>
        <v/>
      </c>
      <c r="E178" s="57">
        <f>'Delphi Round 2'!T178</f>
        <v/>
      </c>
      <c r="F178" s="57">
        <f>'Delphi Round 1'!S178</f>
        <v/>
      </c>
      <c r="G178" s="57">
        <f>'Delphi Round 2'!U178</f>
        <v/>
      </c>
    </row>
    <row r="179">
      <c r="A179" s="57" t="inlineStr">
        <is>
          <t>Transjugular intrahepatic portosystemic shunt (TIPS)</t>
        </is>
      </c>
      <c r="B179" s="57" t="inlineStr">
        <is>
          <t>Baseline liver reserve, cardiac reserve, indication, encephalopathy history and shunt size</t>
        </is>
      </c>
      <c r="C179" s="57" t="inlineStr">
        <is>
          <t>Conditional / patient-specific</t>
        </is>
      </c>
      <c r="D179" s="57">
        <f>'Delphi Round 1'!R179</f>
        <v/>
      </c>
      <c r="E179" s="57">
        <f>'Delphi Round 2'!T179</f>
        <v/>
      </c>
      <c r="F179" s="57">
        <f>'Delphi Round 1'!S179</f>
        <v/>
      </c>
      <c r="G179" s="57">
        <f>'Delphi Round 2'!U179</f>
        <v/>
      </c>
    </row>
    <row r="180">
      <c r="A180" s="57" t="inlineStr">
        <is>
          <t>Tunneled dialysis catheter insertion</t>
        </is>
      </c>
      <c r="B180" s="57" t="inlineStr">
        <is>
          <t>Catheter malfunction/malposition</t>
        </is>
      </c>
      <c r="C180" s="57" t="inlineStr">
        <is>
          <t>Core candidate</t>
        </is>
      </c>
      <c r="D180" s="57">
        <f>'Delphi Round 1'!R180</f>
        <v/>
      </c>
      <c r="E180" s="57">
        <f>'Delphi Round 2'!T180</f>
        <v/>
      </c>
      <c r="F180" s="57">
        <f>'Delphi Round 1'!S180</f>
        <v/>
      </c>
      <c r="G180" s="57">
        <f>'Delphi Round 2'!U180</f>
        <v/>
      </c>
    </row>
    <row r="181">
      <c r="A181" s="57" t="inlineStr">
        <is>
          <t>Tunneled dialysis catheter insertion</t>
        </is>
      </c>
      <c r="B181" s="57" t="inlineStr">
        <is>
          <t>local pain</t>
        </is>
      </c>
      <c r="C181" s="57" t="inlineStr">
        <is>
          <t>Core candidate</t>
        </is>
      </c>
      <c r="D181" s="57">
        <f>'Delphi Round 1'!R181</f>
        <v/>
      </c>
      <c r="E181" s="57">
        <f>'Delphi Round 2'!T181</f>
        <v/>
      </c>
      <c r="F181" s="57">
        <f>'Delphi Round 1'!S181</f>
        <v/>
      </c>
      <c r="G181" s="57">
        <f>'Delphi Round 2'!U181</f>
        <v/>
      </c>
    </row>
    <row r="182">
      <c r="A182" s="57" t="inlineStr">
        <is>
          <t>Tunneled dialysis catheter insertion</t>
        </is>
      </c>
      <c r="B182" s="57" t="inlineStr">
        <is>
          <t>Arterial puncture, bleeding/haematoma, arrhythmia, pneumothorax/haemothorax (site-dependent), infection, venous thrombosis/stenosis</t>
        </is>
      </c>
      <c r="C182" s="57" t="inlineStr">
        <is>
          <t>Core candidate</t>
        </is>
      </c>
      <c r="D182" s="57">
        <f>'Delphi Round 1'!R182</f>
        <v/>
      </c>
      <c r="E182" s="57">
        <f>'Delphi Round 2'!T182</f>
        <v/>
      </c>
      <c r="F182" s="57">
        <f>'Delphi Round 1'!S182</f>
        <v/>
      </c>
      <c r="G182" s="57">
        <f>'Delphi Round 2'!U182</f>
        <v/>
      </c>
    </row>
    <row r="183">
      <c r="A183" s="57" t="inlineStr">
        <is>
          <t>Tunneled dialysis catheter insertion</t>
        </is>
      </c>
      <c r="B183" s="57" t="inlineStr">
        <is>
          <t>Air embolism, major vascular injury or severe haemorrhage</t>
        </is>
      </c>
      <c r="C183" s="57" t="inlineStr">
        <is>
          <t>Core candidate</t>
        </is>
      </c>
      <c r="D183" s="57">
        <f>'Delphi Round 1'!R183</f>
        <v/>
      </c>
      <c r="E183" s="57">
        <f>'Delphi Round 2'!T183</f>
        <v/>
      </c>
      <c r="F183" s="57">
        <f>'Delphi Round 1'!S183</f>
        <v/>
      </c>
      <c r="G183" s="57">
        <f>'Delphi Round 2'!U183</f>
        <v/>
      </c>
    </row>
    <row r="184">
      <c r="A184" s="57" t="inlineStr">
        <is>
          <t>Tunneled dialysis catheter insertion</t>
        </is>
      </c>
      <c r="B184" s="57" t="inlineStr">
        <is>
          <t>catheter failure requiring replacement</t>
        </is>
      </c>
      <c r="C184" s="57" t="inlineStr">
        <is>
          <t>Core candidate</t>
        </is>
      </c>
      <c r="D184" s="57">
        <f>'Delphi Round 1'!R184</f>
        <v/>
      </c>
      <c r="E184" s="57">
        <f>'Delphi Round 2'!T184</f>
        <v/>
      </c>
      <c r="F184" s="57">
        <f>'Delphi Round 1'!S184</f>
        <v/>
      </c>
      <c r="G184" s="57">
        <f>'Delphi Round 2'!U184</f>
        <v/>
      </c>
    </row>
    <row r="185">
      <c r="A185" s="57" t="inlineStr">
        <is>
          <t>Tunneled dialysis catheter insertion</t>
        </is>
      </c>
      <c r="B185" s="57" t="inlineStr">
        <is>
          <t>Venous access bleeding/haematoma</t>
        </is>
      </c>
      <c r="C185" s="57" t="inlineStr">
        <is>
          <t>Core candidate</t>
        </is>
      </c>
      <c r="D185" s="57">
        <f>'Delphi Round 1'!R185</f>
        <v/>
      </c>
      <c r="E185" s="57">
        <f>'Delphi Round 2'!T185</f>
        <v/>
      </c>
      <c r="F185" s="57">
        <f>'Delphi Round 1'!S185</f>
        <v/>
      </c>
      <c r="G185" s="57">
        <f>'Delphi Round 2'!U185</f>
        <v/>
      </c>
    </row>
    <row r="186">
      <c r="A186" s="57" t="inlineStr">
        <is>
          <t>Tunneled dialysis catheter insertion</t>
        </is>
      </c>
      <c r="B186" s="57" t="inlineStr">
        <is>
          <t>arterial puncture</t>
        </is>
      </c>
      <c r="C186" s="57" t="inlineStr">
        <is>
          <t>Core candidate</t>
        </is>
      </c>
      <c r="D186" s="57">
        <f>'Delphi Round 1'!R186</f>
        <v/>
      </c>
      <c r="E186" s="57">
        <f>'Delphi Round 2'!T186</f>
        <v/>
      </c>
      <c r="F186" s="57">
        <f>'Delphi Round 1'!S186</f>
        <v/>
      </c>
      <c r="G186" s="57">
        <f>'Delphi Round 2'!U186</f>
        <v/>
      </c>
    </row>
    <row r="187">
      <c r="A187" s="57" t="inlineStr">
        <is>
          <t>Tunneled dialysis catheter insertion</t>
        </is>
      </c>
      <c r="B187" s="57" t="inlineStr">
        <is>
          <t>Fluoroscopy/radiation and contrast if used</t>
        </is>
      </c>
      <c r="C187" s="57" t="inlineStr">
        <is>
          <t>Conditional / patient-specific</t>
        </is>
      </c>
      <c r="D187" s="57">
        <f>'Delphi Round 1'!R187</f>
        <v/>
      </c>
      <c r="E187" s="57">
        <f>'Delphi Round 2'!T187</f>
        <v/>
      </c>
      <c r="F187" s="57">
        <f>'Delphi Round 1'!S187</f>
        <v/>
      </c>
      <c r="G187" s="57">
        <f>'Delphi Round 2'!U187</f>
        <v/>
      </c>
    </row>
    <row r="188">
      <c r="A188" s="57" t="inlineStr">
        <is>
          <t>Tunneled dialysis catheter insertion</t>
        </is>
      </c>
      <c r="B188" s="57" t="inlineStr">
        <is>
          <t>sedation if used</t>
        </is>
      </c>
      <c r="C188" s="57" t="inlineStr">
        <is>
          <t>Conditional / patient-specific</t>
        </is>
      </c>
      <c r="D188" s="57">
        <f>'Delphi Round 1'!R188</f>
        <v/>
      </c>
      <c r="E188" s="57">
        <f>'Delphi Round 2'!T188</f>
        <v/>
      </c>
      <c r="F188" s="57">
        <f>'Delphi Round 1'!S188</f>
        <v/>
      </c>
      <c r="G188" s="57">
        <f>'Delphi Round 2'!U188</f>
        <v/>
      </c>
    </row>
    <row r="189">
      <c r="A189" s="57" t="inlineStr">
        <is>
          <t>Tunneled dialysis catheter insertion</t>
        </is>
      </c>
      <c r="B189" s="57" t="inlineStr">
        <is>
          <t>Access route, prior central venous stenosis/thrombosis, anatomy, coagulopathy and infection status</t>
        </is>
      </c>
      <c r="C189" s="57" t="inlineStr">
        <is>
          <t>Conditional / patient-specific</t>
        </is>
      </c>
      <c r="D189" s="57">
        <f>'Delphi Round 1'!R189</f>
        <v/>
      </c>
      <c r="E189" s="57">
        <f>'Delphi Round 2'!T189</f>
        <v/>
      </c>
      <c r="F189" s="57">
        <f>'Delphi Round 1'!S189</f>
        <v/>
      </c>
      <c r="G189" s="57">
        <f>'Delphi Round 2'!U189</f>
        <v/>
      </c>
    </row>
    <row r="190">
      <c r="A190" s="57" t="inlineStr">
        <is>
          <t>Uterine artery embolisation for fibroids (UAE)</t>
        </is>
      </c>
      <c r="B190" s="57" t="inlineStr">
        <is>
          <t>Pain, nausea, fever and post-embolisation syndrome (expected/common)</t>
        </is>
      </c>
      <c r="C190" s="57" t="inlineStr">
        <is>
          <t>Core candidate</t>
        </is>
      </c>
      <c r="D190" s="57">
        <f>'Delphi Round 1'!R190</f>
        <v/>
      </c>
      <c r="E190" s="57">
        <f>'Delphi Round 2'!T190</f>
        <v/>
      </c>
      <c r="F190" s="57">
        <f>'Delphi Round 1'!S190</f>
        <v/>
      </c>
      <c r="G190" s="57">
        <f>'Delphi Round 2'!U190</f>
        <v/>
      </c>
    </row>
    <row r="191">
      <c r="A191" s="57" t="inlineStr">
        <is>
          <t>Uterine artery embolisation for fibroids (UAE)</t>
        </is>
      </c>
      <c r="B191" s="57" t="inlineStr">
        <is>
          <t>fibroid expulsion</t>
        </is>
      </c>
      <c r="C191" s="57" t="inlineStr">
        <is>
          <t>Core candidate</t>
        </is>
      </c>
      <c r="D191" s="57">
        <f>'Delphi Round 1'!R191</f>
        <v/>
      </c>
      <c r="E191" s="57">
        <f>'Delphi Round 2'!T191</f>
        <v/>
      </c>
      <c r="F191" s="57">
        <f>'Delphi Round 1'!S191</f>
        <v/>
      </c>
      <c r="G191" s="57">
        <f>'Delphi Round 2'!U191</f>
        <v/>
      </c>
    </row>
    <row r="192">
      <c r="A192" s="57" t="inlineStr">
        <is>
          <t>Uterine artery embolisation for fibroids (UAE)</t>
        </is>
      </c>
      <c r="B192" s="57" t="inlineStr">
        <is>
          <t>Infection/endometritis</t>
        </is>
      </c>
      <c r="C192" s="57" t="inlineStr">
        <is>
          <t>Core candidate</t>
        </is>
      </c>
      <c r="D192" s="57">
        <f>'Delphi Round 1'!R192</f>
        <v/>
      </c>
      <c r="E192" s="57">
        <f>'Delphi Round 2'!T192</f>
        <v/>
      </c>
      <c r="F192" s="57">
        <f>'Delphi Round 1'!S192</f>
        <v/>
      </c>
      <c r="G192" s="57">
        <f>'Delphi Round 2'!U192</f>
        <v/>
      </c>
    </row>
    <row r="193">
      <c r="A193" s="57" t="inlineStr">
        <is>
          <t>Uterine artery embolisation for fibroids (UAE)</t>
        </is>
      </c>
      <c r="B193" s="57" t="inlineStr">
        <is>
          <t>persistent symptoms or repeat treatment</t>
        </is>
      </c>
      <c r="C193" s="57" t="inlineStr">
        <is>
          <t>Core candidate</t>
        </is>
      </c>
      <c r="D193" s="57">
        <f>'Delphi Round 1'!R193</f>
        <v/>
      </c>
      <c r="E193" s="57">
        <f>'Delphi Round 2'!T193</f>
        <v/>
      </c>
      <c r="F193" s="57">
        <f>'Delphi Round 1'!S193</f>
        <v/>
      </c>
      <c r="G193" s="57">
        <f>'Delphi Round 2'!U193</f>
        <v/>
      </c>
    </row>
    <row r="194">
      <c r="A194" s="57" t="inlineStr">
        <is>
          <t>Uterine artery embolisation for fibroids (UAE)</t>
        </is>
      </c>
      <c r="B194" s="57" t="inlineStr">
        <is>
          <t>Non-target ischaemia/necrosis</t>
        </is>
      </c>
      <c r="C194" s="57" t="inlineStr">
        <is>
          <t>Core candidate</t>
        </is>
      </c>
      <c r="D194" s="57">
        <f>'Delphi Round 1'!R194</f>
        <v/>
      </c>
      <c r="E194" s="57">
        <f>'Delphi Round 2'!T194</f>
        <v/>
      </c>
      <c r="F194" s="57">
        <f>'Delphi Round 1'!S194</f>
        <v/>
      </c>
      <c r="G194" s="57">
        <f>'Delphi Round 2'!U194</f>
        <v/>
      </c>
    </row>
    <row r="195">
      <c r="A195" s="57" t="inlineStr">
        <is>
          <t>Uterine artery embolisation for fibroids (UAE)</t>
        </is>
      </c>
      <c r="B195" s="57" t="inlineStr">
        <is>
          <t>ovarian dysfunction/amenorrhoea or earlier menopause</t>
        </is>
      </c>
      <c r="C195" s="57" t="inlineStr">
        <is>
          <t>Core candidate</t>
        </is>
      </c>
      <c r="D195" s="57">
        <f>'Delphi Round 1'!R195</f>
        <v/>
      </c>
      <c r="E195" s="57">
        <f>'Delphi Round 2'!T195</f>
        <v/>
      </c>
      <c r="F195" s="57">
        <f>'Delphi Round 1'!S195</f>
        <v/>
      </c>
      <c r="G195" s="57">
        <f>'Delphi Round 2'!U195</f>
        <v/>
      </c>
    </row>
    <row r="196">
      <c r="A196" s="57" t="inlineStr">
        <is>
          <t>Uterine artery embolisation for fibroids (UAE)</t>
        </is>
      </c>
      <c r="B196" s="57" t="inlineStr">
        <is>
          <t>hysterectomy</t>
        </is>
      </c>
      <c r="C196" s="57" t="inlineStr">
        <is>
          <t>Core candidate</t>
        </is>
      </c>
      <c r="D196" s="57">
        <f>'Delphi Round 1'!R196</f>
        <v/>
      </c>
      <c r="E196" s="57">
        <f>'Delphi Round 2'!T196</f>
        <v/>
      </c>
      <c r="F196" s="57">
        <f>'Delphi Round 1'!S196</f>
        <v/>
      </c>
      <c r="G196" s="57">
        <f>'Delphi Round 2'!U196</f>
        <v/>
      </c>
    </row>
    <row r="197">
      <c r="A197" s="57" t="inlineStr">
        <is>
          <t>Uterine artery embolisation for fibroids (UAE)</t>
        </is>
      </c>
      <c r="B197" s="57" t="inlineStr">
        <is>
          <t>fertility/pregnancy implications</t>
        </is>
      </c>
      <c r="C197" s="57" t="inlineStr">
        <is>
          <t>Core candidate</t>
        </is>
      </c>
      <c r="D197" s="57">
        <f>'Delphi Round 1'!R197</f>
        <v/>
      </c>
      <c r="E197" s="57">
        <f>'Delphi Round 2'!T197</f>
        <v/>
      </c>
      <c r="F197" s="57">
        <f>'Delphi Round 1'!S197</f>
        <v/>
      </c>
      <c r="G197" s="57">
        <f>'Delphi Round 2'!U197</f>
        <v/>
      </c>
    </row>
    <row r="198">
      <c r="A198" s="57" t="inlineStr">
        <is>
          <t>Uterine artery embolisation for fibroids (UAE)</t>
        </is>
      </c>
      <c r="B198" s="57" t="inlineStr">
        <is>
          <t>Access bleeding/haematoma</t>
        </is>
      </c>
      <c r="C198" s="57" t="inlineStr">
        <is>
          <t>Core candidate</t>
        </is>
      </c>
      <c r="D198" s="57">
        <f>'Delphi Round 1'!R198</f>
        <v/>
      </c>
      <c r="E198" s="57">
        <f>'Delphi Round 2'!T198</f>
        <v/>
      </c>
      <c r="F198" s="57">
        <f>'Delphi Round 1'!S198</f>
        <v/>
      </c>
      <c r="G198" s="57">
        <f>'Delphi Round 2'!U198</f>
        <v/>
      </c>
    </row>
    <row r="199">
      <c r="A199" s="57" t="inlineStr">
        <is>
          <t>Uterine artery embolisation for fibroids (UAE)</t>
        </is>
      </c>
      <c r="B199" s="57" t="inlineStr">
        <is>
          <t>arterial injury</t>
        </is>
      </c>
      <c r="C199" s="57" t="inlineStr">
        <is>
          <t>Core candidate</t>
        </is>
      </c>
      <c r="D199" s="57">
        <f>'Delphi Round 1'!R199</f>
        <v/>
      </c>
      <c r="E199" s="57">
        <f>'Delphi Round 2'!T199</f>
        <v/>
      </c>
      <c r="F199" s="57">
        <f>'Delphi Round 1'!S199</f>
        <v/>
      </c>
      <c r="G199" s="57">
        <f>'Delphi Round 2'!U199</f>
        <v/>
      </c>
    </row>
    <row r="200">
      <c r="A200" s="57" t="inlineStr">
        <is>
          <t>Uterine artery embolisation for fibroids (UAE)</t>
        </is>
      </c>
      <c r="B200" s="57" t="inlineStr">
        <is>
          <t>Contrast reaction/AKI</t>
        </is>
      </c>
      <c r="C200" s="57" t="inlineStr">
        <is>
          <t>Conditional / patient-specific</t>
        </is>
      </c>
      <c r="D200" s="57">
        <f>'Delphi Round 1'!R200</f>
        <v/>
      </c>
      <c r="E200" s="57">
        <f>'Delphi Round 2'!T200</f>
        <v/>
      </c>
      <c r="F200" s="57">
        <f>'Delphi Round 1'!S200</f>
        <v/>
      </c>
      <c r="G200" s="57">
        <f>'Delphi Round 2'!U200</f>
        <v/>
      </c>
    </row>
    <row r="201">
      <c r="A201" s="57" t="inlineStr">
        <is>
          <t>Uterine artery embolisation for fibroids (UAE)</t>
        </is>
      </c>
      <c r="B201" s="57" t="inlineStr">
        <is>
          <t>radiation exposure</t>
        </is>
      </c>
      <c r="C201" s="57" t="inlineStr">
        <is>
          <t>Conditional / patient-specific</t>
        </is>
      </c>
      <c r="D201" s="57">
        <f>'Delphi Round 1'!R201</f>
        <v/>
      </c>
      <c r="E201" s="57">
        <f>'Delphi Round 2'!T201</f>
        <v/>
      </c>
      <c r="F201" s="57">
        <f>'Delphi Round 1'!S201</f>
        <v/>
      </c>
      <c r="G201" s="57">
        <f>'Delphi Round 2'!U201</f>
        <v/>
      </c>
    </row>
    <row r="202">
      <c r="A202" s="57" t="inlineStr">
        <is>
          <t>Uterine artery embolisation for fibroids (UAE)</t>
        </is>
      </c>
      <c r="B202" s="57" t="inlineStr">
        <is>
          <t>Age, ovarian reserve, reproductive goals, infection risk and fibroid anatomy</t>
        </is>
      </c>
      <c r="C202" s="57" t="inlineStr">
        <is>
          <t>Conditional / patient-specific</t>
        </is>
      </c>
      <c r="D202" s="57">
        <f>'Delphi Round 1'!R202</f>
        <v/>
      </c>
      <c r="E202" s="57">
        <f>'Delphi Round 2'!T202</f>
        <v/>
      </c>
      <c r="F202" s="57">
        <f>'Delphi Round 1'!S202</f>
        <v/>
      </c>
      <c r="G202" s="57">
        <f>'Delphi Round 2'!U202</f>
        <v/>
      </c>
    </row>
    <row r="203">
      <c r="A203" s="57" t="inlineStr">
        <is>
          <t>Varicocele embolisation</t>
        </is>
      </c>
      <c r="B203" s="57" t="inlineStr">
        <is>
          <t>Local pain/swelling or thrombophlebitic symptoms</t>
        </is>
      </c>
      <c r="C203" s="57" t="inlineStr">
        <is>
          <t>Core candidate</t>
        </is>
      </c>
      <c r="D203" s="57">
        <f>'Delphi Round 1'!R203</f>
        <v/>
      </c>
      <c r="E203" s="57">
        <f>'Delphi Round 2'!T203</f>
        <v/>
      </c>
      <c r="F203" s="57">
        <f>'Delphi Round 1'!S203</f>
        <v/>
      </c>
      <c r="G203" s="57">
        <f>'Delphi Round 2'!U203</f>
        <v/>
      </c>
    </row>
    <row r="204">
      <c r="A204" s="57" t="inlineStr">
        <is>
          <t>Varicocele embolisation</t>
        </is>
      </c>
      <c r="B204" s="57" t="inlineStr">
        <is>
          <t>persistent/recurrent varicocele</t>
        </is>
      </c>
      <c r="C204" s="57" t="inlineStr">
        <is>
          <t>Core candidate</t>
        </is>
      </c>
      <c r="D204" s="57">
        <f>'Delphi Round 1'!R204</f>
        <v/>
      </c>
      <c r="E204" s="57">
        <f>'Delphi Round 2'!T204</f>
        <v/>
      </c>
      <c r="F204" s="57">
        <f>'Delphi Round 1'!S204</f>
        <v/>
      </c>
      <c r="G204" s="57">
        <f>'Delphi Round 2'!U204</f>
        <v/>
      </c>
    </row>
    <row r="205">
      <c r="A205" s="57" t="inlineStr">
        <is>
          <t>Varicocele embolisation</t>
        </is>
      </c>
      <c r="B205" s="57" t="inlineStr">
        <is>
          <t>Venous injury/perforation</t>
        </is>
      </c>
      <c r="C205" s="57" t="inlineStr">
        <is>
          <t>Core candidate</t>
        </is>
      </c>
      <c r="D205" s="57">
        <f>'Delphi Round 1'!R205</f>
        <v/>
      </c>
      <c r="E205" s="57">
        <f>'Delphi Round 2'!T205</f>
        <v/>
      </c>
      <c r="F205" s="57">
        <f>'Delphi Round 1'!S205</f>
        <v/>
      </c>
      <c r="G205" s="57">
        <f>'Delphi Round 2'!U205</f>
        <v/>
      </c>
    </row>
    <row r="206">
      <c r="A206" s="57" t="inlineStr">
        <is>
          <t>Varicocele embolisation</t>
        </is>
      </c>
      <c r="B206" s="57" t="inlineStr">
        <is>
          <t>technical failure and repeat procedure</t>
        </is>
      </c>
      <c r="C206" s="57" t="inlineStr">
        <is>
          <t>Core candidate</t>
        </is>
      </c>
      <c r="D206" s="57">
        <f>'Delphi Round 1'!R206</f>
        <v/>
      </c>
      <c r="E206" s="57">
        <f>'Delphi Round 2'!T206</f>
        <v/>
      </c>
      <c r="F206" s="57">
        <f>'Delphi Round 1'!S206</f>
        <v/>
      </c>
      <c r="G206" s="57">
        <f>'Delphi Round 2'!U206</f>
        <v/>
      </c>
    </row>
    <row r="207">
      <c r="A207" s="57" t="inlineStr">
        <is>
          <t>Varicocele embolisation</t>
        </is>
      </c>
      <c r="B207" s="57" t="inlineStr">
        <is>
          <t>Coil/plug/liquid-agent migration, potentially pulmonary</t>
        </is>
      </c>
      <c r="C207" s="57" t="inlineStr">
        <is>
          <t>Core candidate</t>
        </is>
      </c>
      <c r="D207" s="57">
        <f>'Delphi Round 1'!R207</f>
        <v/>
      </c>
      <c r="E207" s="57">
        <f>'Delphi Round 2'!T207</f>
        <v/>
      </c>
      <c r="F207" s="57">
        <f>'Delphi Round 1'!S207</f>
        <v/>
      </c>
      <c r="G207" s="57">
        <f>'Delphi Round 2'!U207</f>
        <v/>
      </c>
    </row>
    <row r="208">
      <c r="A208" s="57" t="inlineStr">
        <is>
          <t>Varicocele embolisation</t>
        </is>
      </c>
      <c r="B208" s="57" t="inlineStr">
        <is>
          <t>serious non-target embolisation</t>
        </is>
      </c>
      <c r="C208" s="57" t="inlineStr">
        <is>
          <t>Core candidate</t>
        </is>
      </c>
      <c r="D208" s="57">
        <f>'Delphi Round 1'!R208</f>
        <v/>
      </c>
      <c r="E208" s="57">
        <f>'Delphi Round 2'!T208</f>
        <v/>
      </c>
      <c r="F208" s="57">
        <f>'Delphi Round 1'!S208</f>
        <v/>
      </c>
      <c r="G208" s="57">
        <f>'Delphi Round 2'!U208</f>
        <v/>
      </c>
    </row>
    <row r="209">
      <c r="A209" s="57" t="inlineStr">
        <is>
          <t>Varicocele embolisation</t>
        </is>
      </c>
      <c r="B209" s="57" t="inlineStr">
        <is>
          <t>Venous access bleeding/haematoma</t>
        </is>
      </c>
      <c r="C209" s="57" t="inlineStr">
        <is>
          <t>Core candidate</t>
        </is>
      </c>
      <c r="D209" s="57">
        <f>'Delphi Round 1'!R209</f>
        <v/>
      </c>
      <c r="E209" s="57">
        <f>'Delphi Round 2'!T209</f>
        <v/>
      </c>
      <c r="F209" s="57">
        <f>'Delphi Round 1'!S209</f>
        <v/>
      </c>
      <c r="G209" s="57">
        <f>'Delphi Round 2'!U209</f>
        <v/>
      </c>
    </row>
    <row r="210">
      <c r="A210" s="57" t="inlineStr">
        <is>
          <t>Varicocele embolisation</t>
        </is>
      </c>
      <c r="B210" s="57" t="inlineStr">
        <is>
          <t>Contrast reaction/AKI and radiation exposure</t>
        </is>
      </c>
      <c r="C210" s="57" t="inlineStr">
        <is>
          <t>Conditional / patient-specific</t>
        </is>
      </c>
      <c r="D210" s="57">
        <f>'Delphi Round 1'!R210</f>
        <v/>
      </c>
      <c r="E210" s="57">
        <f>'Delphi Round 2'!T210</f>
        <v/>
      </c>
      <c r="F210" s="57">
        <f>'Delphi Round 1'!S210</f>
        <v/>
      </c>
      <c r="G210" s="57">
        <f>'Delphi Round 2'!U210</f>
        <v/>
      </c>
    </row>
    <row r="211">
      <c r="A211" s="57" t="inlineStr">
        <is>
          <t>Varicocele embolisation</t>
        </is>
      </c>
      <c r="B211" s="57" t="inlineStr">
        <is>
          <t>Embolic material, venous anatomy, route and fertility-related goals</t>
        </is>
      </c>
      <c r="C211" s="57" t="inlineStr">
        <is>
          <t>Conditional / patient-specific</t>
        </is>
      </c>
      <c r="D211" s="57">
        <f>'Delphi Round 1'!R211</f>
        <v/>
      </c>
      <c r="E211" s="57">
        <f>'Delphi Round 2'!T211</f>
        <v/>
      </c>
      <c r="F211" s="57">
        <f>'Delphi Round 1'!S211</f>
        <v/>
      </c>
      <c r="G211" s="57">
        <f>'Delphi Round 2'!U211</f>
        <v/>
      </c>
    </row>
    <row r="212">
      <c r="A212" s="57" t="inlineStr">
        <is>
          <t>Venous stenting</t>
        </is>
      </c>
      <c r="B212" s="57" t="inlineStr">
        <is>
          <t>Access bruising/bleeding</t>
        </is>
      </c>
      <c r="C212" s="57" t="inlineStr">
        <is>
          <t>Core candidate</t>
        </is>
      </c>
      <c r="D212" s="57">
        <f>'Delphi Round 1'!R212</f>
        <v/>
      </c>
      <c r="E212" s="57">
        <f>'Delphi Round 2'!T212</f>
        <v/>
      </c>
      <c r="F212" s="57">
        <f>'Delphi Round 1'!S212</f>
        <v/>
      </c>
      <c r="G212" s="57">
        <f>'Delphi Round 2'!U212</f>
        <v/>
      </c>
    </row>
    <row r="213">
      <c r="A213" s="57" t="inlineStr">
        <is>
          <t>Venous stenting</t>
        </is>
      </c>
      <c r="B213" s="57" t="inlineStr">
        <is>
          <t>persistent/recurrent symptoms</t>
        </is>
      </c>
      <c r="C213" s="57" t="inlineStr">
        <is>
          <t>Core candidate</t>
        </is>
      </c>
      <c r="D213" s="57">
        <f>'Delphi Round 1'!R213</f>
        <v/>
      </c>
      <c r="E213" s="57">
        <f>'Delphi Round 2'!T213</f>
        <v/>
      </c>
      <c r="F213" s="57">
        <f>'Delphi Round 1'!S213</f>
        <v/>
      </c>
      <c r="G213" s="57">
        <f>'Delphi Round 2'!U213</f>
        <v/>
      </c>
    </row>
    <row r="214">
      <c r="A214" s="57" t="inlineStr">
        <is>
          <t>Venous stenting</t>
        </is>
      </c>
      <c r="B214" s="57" t="inlineStr">
        <is>
          <t>Venous perforation/rupture</t>
        </is>
      </c>
      <c r="C214" s="57" t="inlineStr">
        <is>
          <t>Core candidate</t>
        </is>
      </c>
      <c r="D214" s="57">
        <f>'Delphi Round 1'!R214</f>
        <v/>
      </c>
      <c r="E214" s="57">
        <f>'Delphi Round 2'!T214</f>
        <v/>
      </c>
      <c r="F214" s="57">
        <f>'Delphi Round 1'!S214</f>
        <v/>
      </c>
      <c r="G214" s="57">
        <f>'Delphi Round 2'!U214</f>
        <v/>
      </c>
    </row>
    <row r="215">
      <c r="A215" s="57" t="inlineStr">
        <is>
          <t>Venous stenting</t>
        </is>
      </c>
      <c r="B215" s="57" t="inlineStr">
        <is>
          <t>acute or in-stent thrombosis/occlusion</t>
        </is>
      </c>
      <c r="C215" s="57" t="inlineStr">
        <is>
          <t>Core candidate</t>
        </is>
      </c>
      <c r="D215" s="57">
        <f>'Delphi Round 1'!R215</f>
        <v/>
      </c>
      <c r="E215" s="57">
        <f>'Delphi Round 2'!T215</f>
        <v/>
      </c>
      <c r="F215" s="57">
        <f>'Delphi Round 1'!S215</f>
        <v/>
      </c>
      <c r="G215" s="57">
        <f>'Delphi Round 2'!U215</f>
        <v/>
      </c>
    </row>
    <row r="216">
      <c r="A216" s="57" t="inlineStr">
        <is>
          <t>Venous stenting</t>
        </is>
      </c>
      <c r="B216" s="57" t="inlineStr">
        <is>
          <t>stent compression/fracture where relevant</t>
        </is>
      </c>
      <c r="C216" s="57" t="inlineStr">
        <is>
          <t>Core candidate</t>
        </is>
      </c>
      <c r="D216" s="57">
        <f>'Delphi Round 1'!R216</f>
        <v/>
      </c>
      <c r="E216" s="57">
        <f>'Delphi Round 2'!T216</f>
        <v/>
      </c>
      <c r="F216" s="57">
        <f>'Delphi Round 1'!S216</f>
        <v/>
      </c>
      <c r="G216" s="57">
        <f>'Delphi Round 2'!U216</f>
        <v/>
      </c>
    </row>
    <row r="217">
      <c r="A217" s="57" t="inlineStr">
        <is>
          <t>Venous stenting</t>
        </is>
      </c>
      <c r="B217" s="57" t="inlineStr">
        <is>
          <t>Stent migration</t>
        </is>
      </c>
      <c r="C217" s="57" t="inlineStr">
        <is>
          <t>Core candidate</t>
        </is>
      </c>
      <c r="D217" s="57">
        <f>'Delphi Round 1'!R217</f>
        <v/>
      </c>
      <c r="E217" s="57">
        <f>'Delphi Round 2'!T217</f>
        <v/>
      </c>
      <c r="F217" s="57">
        <f>'Delphi Round 1'!S217</f>
        <v/>
      </c>
      <c r="G217" s="57">
        <f>'Delphi Round 2'!U217</f>
        <v/>
      </c>
    </row>
    <row r="218">
      <c r="A218" s="57" t="inlineStr">
        <is>
          <t>Venous stenting</t>
        </is>
      </c>
      <c r="B218" s="57" t="inlineStr">
        <is>
          <t>serious thromboembolic event</t>
        </is>
      </c>
      <c r="C218" s="57" t="inlineStr">
        <is>
          <t>Core candidate</t>
        </is>
      </c>
      <c r="D218" s="57">
        <f>'Delphi Round 1'!R218</f>
        <v/>
      </c>
      <c r="E218" s="57">
        <f>'Delphi Round 2'!T218</f>
        <v/>
      </c>
      <c r="F218" s="57">
        <f>'Delphi Round 1'!S218</f>
        <v/>
      </c>
      <c r="G218" s="57">
        <f>'Delphi Round 2'!U218</f>
        <v/>
      </c>
    </row>
    <row r="219">
      <c r="A219" s="57" t="inlineStr">
        <is>
          <t>Venous stenting</t>
        </is>
      </c>
      <c r="B219" s="57" t="inlineStr">
        <is>
          <t>reintervention</t>
        </is>
      </c>
      <c r="C219" s="57" t="inlineStr">
        <is>
          <t>Core candidate</t>
        </is>
      </c>
      <c r="D219" s="57">
        <f>'Delphi Round 1'!R219</f>
        <v/>
      </c>
      <c r="E219" s="57">
        <f>'Delphi Round 2'!T219</f>
        <v/>
      </c>
      <c r="F219" s="57">
        <f>'Delphi Round 1'!S219</f>
        <v/>
      </c>
      <c r="G219" s="57">
        <f>'Delphi Round 2'!U219</f>
        <v/>
      </c>
    </row>
    <row r="220">
      <c r="A220" s="57" t="inlineStr">
        <is>
          <t>Venous stenting</t>
        </is>
      </c>
      <c r="B220" s="57" t="inlineStr">
        <is>
          <t>Venous access bleeding/haematoma</t>
        </is>
      </c>
      <c r="C220" s="57" t="inlineStr">
        <is>
          <t>Core candidate</t>
        </is>
      </c>
      <c r="D220" s="57">
        <f>'Delphi Round 1'!R220</f>
        <v/>
      </c>
      <c r="E220" s="57">
        <f>'Delphi Round 2'!T220</f>
        <v/>
      </c>
      <c r="F220" s="57">
        <f>'Delphi Round 1'!S220</f>
        <v/>
      </c>
      <c r="G220" s="57">
        <f>'Delphi Round 2'!U220</f>
        <v/>
      </c>
    </row>
    <row r="221">
      <c r="A221" s="57" t="inlineStr">
        <is>
          <t>Venous stenting</t>
        </is>
      </c>
      <c r="B221" s="57" t="inlineStr">
        <is>
          <t>Contrast reaction/AKI and radiation</t>
        </is>
      </c>
      <c r="C221" s="57" t="inlineStr">
        <is>
          <t>Conditional / patient-specific</t>
        </is>
      </c>
      <c r="D221" s="57">
        <f>'Delphi Round 1'!R221</f>
        <v/>
      </c>
      <c r="E221" s="57">
        <f>'Delphi Round 2'!T221</f>
        <v/>
      </c>
      <c r="F221" s="57">
        <f>'Delphi Round 1'!S221</f>
        <v/>
      </c>
      <c r="G221" s="57">
        <f>'Delphi Round 2'!U221</f>
        <v/>
      </c>
    </row>
    <row r="222">
      <c r="A222" s="57" t="inlineStr">
        <is>
          <t>Venous stenting</t>
        </is>
      </c>
      <c r="B222" s="57" t="inlineStr">
        <is>
          <t>antithrombotic-associated bleeding if prescribed</t>
        </is>
      </c>
      <c r="C222" s="57" t="inlineStr">
        <is>
          <t>Conditional / patient-specific</t>
        </is>
      </c>
      <c r="D222" s="57">
        <f>'Delphi Round 1'!R222</f>
        <v/>
      </c>
      <c r="E222" s="57">
        <f>'Delphi Round 2'!T222</f>
        <v/>
      </c>
      <c r="F222" s="57">
        <f>'Delphi Round 1'!S222</f>
        <v/>
      </c>
      <c r="G222" s="57">
        <f>'Delphi Round 2'!U222</f>
        <v/>
      </c>
    </row>
    <row r="223">
      <c r="A223" s="57" t="inlineStr">
        <is>
          <t>Venous stenting</t>
        </is>
      </c>
      <c r="B223" s="57" t="inlineStr">
        <is>
          <t>Iliocaval vs other venous bed, acute DVT vs chronic obstruction, thrombectomy, stent design and anticoagulation</t>
        </is>
      </c>
      <c r="C223" s="57" t="inlineStr">
        <is>
          <t>Conditional / patient-specific</t>
        </is>
      </c>
      <c r="D223" s="57">
        <f>'Delphi Round 1'!R223</f>
        <v/>
      </c>
      <c r="E223" s="57">
        <f>'Delphi Round 2'!T223</f>
        <v/>
      </c>
      <c r="F223" s="57">
        <f>'Delphi Round 1'!S223</f>
        <v/>
      </c>
      <c r="G223" s="57">
        <f>'Delphi Round 2'!U223</f>
        <v/>
      </c>
    </row>
  </sheetData>
  <autoFilter ref="A1:G22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24" customWidth="1" min="1" max="1"/>
    <col width="62" customWidth="1" min="2" max="2"/>
    <col width="52" customWidth="1" min="3" max="3"/>
  </cols>
  <sheetData>
    <row r="1" ht="30" customHeight="1">
      <c r="A1" s="25" t="inlineStr">
        <is>
          <t>How the consultant matrix was derived</t>
        </is>
      </c>
      <c r="B1" s="1" t="n"/>
      <c r="C1" s="1" t="n"/>
      <c r="D1" s="1" t="n"/>
      <c r="E1" s="1" t="n"/>
      <c r="F1" s="1" t="n"/>
    </row>
    <row r="3">
      <c r="A3" s="29" t="inlineStr">
        <is>
          <t>Stage</t>
        </is>
      </c>
      <c r="B3" s="29" t="inlineStr">
        <is>
          <t>What was done</t>
        </is>
      </c>
      <c r="C3" s="29" t="inlineStr">
        <is>
          <t>Purpose</t>
        </is>
      </c>
    </row>
    <row r="4">
      <c r="A4" s="36" t="inlineStr">
        <is>
          <t>1. Baseline audit</t>
        </is>
      </c>
      <c r="B4" s="36" t="inlineStr">
        <is>
          <t>Local IR consent documentation was reviewed against the reference risks used in the original audit.</t>
        </is>
      </c>
      <c r="C4" s="36" t="inlineStr">
        <is>
          <t>Identify variation and potential omissions; not to declare an absolute consent standard.</t>
        </is>
      </c>
    </row>
    <row r="5">
      <c r="A5" s="36" t="inlineStr">
        <is>
          <t>2. 2026 evidence update</t>
        </is>
      </c>
      <c r="B5" s="36" t="inlineStr">
        <is>
          <t>Each included IR procedure underwent an updated review of current professional guidance and other authoritative sources.</t>
        </is>
      </c>
      <c r="C5" s="36" t="inlineStr">
        <is>
          <t>Refresh the evidence base and identify procedure-specific risks relevant to contemporary practice.</t>
        </is>
      </c>
    </row>
    <row r="6">
      <c r="A6" s="36" t="inlineStr">
        <is>
          <t>3. Candidate risk synthesis</t>
        </is>
      </c>
      <c r="B6" s="36" t="inlineStr">
        <is>
          <t>Risks supported by the updated review were consolidated into a single candidate core-risk set for each procedure. Generic historical wording and duplicate legacy fields were removed from this working document.</t>
        </is>
      </c>
      <c r="C6" s="36" t="inlineStr">
        <is>
          <t>Create a concise evidence-derived candidate set suitable for expert review.</t>
        </is>
      </c>
    </row>
    <row r="7">
      <c r="A7" s="36" t="inlineStr">
        <is>
          <t>4. Conditional risks retained separately</t>
        </is>
      </c>
      <c r="B7" s="36" t="inlineStr">
        <is>
          <t>Risks that depend on patient factors, access route, contrast, radiation, sedation, anatomy or technique are retained separately rather than automatically treated as universal core risks.</t>
        </is>
      </c>
      <c r="C7" s="36" t="inlineStr">
        <is>
          <t>Avoid over-standardisation and preserve individualised, material-risk consent.</t>
        </is>
      </c>
    </row>
    <row r="8">
      <c r="A8" s="36" t="inlineStr">
        <is>
          <t>5. Evidence and frequency context</t>
        </is>
      </c>
      <c r="B8" s="36" t="inlineStr">
        <is>
          <t>Where transferable incidence information was available it is summarised; where no universal rate is defensible, that limitation is stated explicitly.</t>
        </is>
      </c>
      <c r="C8" s="36" t="inlineStr">
        <is>
          <t>Prevent misleading numerical risk estimates across heterogeneous patients and techniques.</t>
        </is>
      </c>
    </row>
    <row r="9">
      <c r="A9" s="36" t="inlineStr">
        <is>
          <t>6. Consultant consensus</t>
        </is>
      </c>
      <c r="B9" s="36" t="inlineStr">
        <is>
          <t>The matrix is intended for consultant review to determine the final departmental core risk set, wording and any routine frequency statements.</t>
        </is>
      </c>
      <c r="C9" s="36" t="inlineStr">
        <is>
          <t>Convert an evidence-derived candidate list into a clinically owned departmental standard.</t>
        </is>
      </c>
    </row>
    <row r="10">
      <c r="A10" s="36" t="inlineStr">
        <is>
          <t>7. Implementation and re-audit</t>
        </is>
      </c>
      <c r="B10" s="36" t="inlineStr">
        <is>
          <t>Following consensus, the agreed standard can be implemented in the local consent workflow and subsequently re-audited.</t>
        </is>
      </c>
      <c r="C10" s="36" t="inlineStr">
        <is>
          <t>Close the audit/QI loop and assess consistency after implementation.</t>
        </is>
      </c>
    </row>
    <row r="12">
      <c r="A12" s="43" t="inlineStr">
        <is>
          <t>Key interpretation</t>
        </is>
      </c>
      <c r="B12" s="1" t="n"/>
      <c r="C12" s="1" t="n"/>
    </row>
    <row r="13">
      <c r="A13" s="39" t="inlineStr">
        <is>
          <t>This matrix is deliberately not the final consent standard. It is an evidence-derived candidate set designed to support structured consultant consensus. The final departmental standard should reflect both the evidence base and expert agreement, while retaining scope for patient-specific material risks.</t>
        </is>
      </c>
      <c r="B13" s="1" t="n"/>
      <c r="C13" s="1" t="n"/>
    </row>
    <row r="14">
      <c r="A14" s="1" t="n"/>
      <c r="B14" s="1" t="n"/>
      <c r="C14" s="1" t="n"/>
    </row>
  </sheetData>
  <mergeCells count="3">
    <mergeCell ref="A12:C12"/>
    <mergeCell ref="A1:F1"/>
    <mergeCell ref="A13:C14"/>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36" customWidth="1" min="2" max="2"/>
    <col width="58" customWidth="1" min="3" max="3"/>
    <col width="48" customWidth="1" min="4" max="4"/>
    <col width="48" customWidth="1" min="5" max="5"/>
  </cols>
  <sheetData>
    <row r="1">
      <c r="A1" s="48" t="inlineStr">
        <is>
          <t>Procedure</t>
        </is>
      </c>
      <c r="B1" s="48" t="inlineStr">
        <is>
          <t>Source scope / applicability</t>
        </is>
      </c>
      <c r="C1" s="48" t="inlineStr">
        <is>
          <t>Current source references</t>
        </is>
      </c>
      <c r="D1" s="48" t="inlineStr">
        <is>
          <t>Evidence-review note</t>
        </is>
      </c>
      <c r="E1" s="48" t="inlineStr">
        <is>
          <t>Verification before finalisation</t>
        </is>
      </c>
    </row>
    <row r="2">
      <c r="A2" s="14" t="inlineStr">
        <is>
          <t>Bronchial artery embolisation (BAE)</t>
        </is>
      </c>
      <c r="B2" s="14" t="inlineStr">
        <is>
          <t>Procedure-specific embolisation standard</t>
        </is>
      </c>
      <c r="C2" s="14" t="inlineStr">
        <is>
          <t>[1] Kettenbach et al. CIRSE Standards of Practice on Bronchial Artery Embolisation. 2022; DOI 10.1007/s00270-022-03127-w; PMID 35396612</t>
        </is>
      </c>
      <c r="D2" s="14" t="inlineStr">
        <is>
          <t>Use CIRSE 2022 as lead source; name target-organ consequences rather than listing non-target embolisation alone; chest drain not established as routine risk</t>
        </is>
      </c>
      <c r="E2" s="14" t="inlineStr">
        <is>
          <t>Verify exact local technique and cite complication passage/page</t>
        </is>
      </c>
    </row>
    <row r="3">
      <c r="A3" s="14" t="inlineStr">
        <is>
          <t>Carotid artery angioplasty and stenting (CAS)</t>
        </is>
      </c>
      <c r="B3" s="14" t="inlineStr">
        <is>
          <t>Carotid-specific professional standard</t>
        </is>
      </c>
      <c r="C3" s="14" t="inlineStr">
        <is>
          <t>[2] CIRSE Standards of Practice on Carotid Artery Stenting. 2024; DOI 10.1007/s00270-024-03707-y; PMID 38683353</t>
        </is>
      </c>
      <c r="D3" s="14" t="inlineStr">
        <is>
          <t>Replace mismatched 2015/PMID citation with 2024 CIRSE CAS SOP; add hyperperfusion/intracranial bleed and acute occlusion; define route-dependent aortic/arch injury</t>
        </is>
      </c>
      <c r="E3" s="14" t="inlineStr">
        <is>
          <t>Verify PMID 36894748 against original reference manager; it does not validate the stated citation</t>
        </is>
      </c>
    </row>
    <row r="4">
      <c r="A4" s="14" t="inlineStr">
        <is>
          <t>Diagnostic angiography</t>
        </is>
      </c>
      <c r="B4" s="14" t="inlineStr">
        <is>
          <t>Risk depends on vascular territory and access route</t>
        </is>
      </c>
      <c r="C4" s="14" t="inlineStr">
        <is>
          <t>[3] CIRSE Standards of Practice on Arterial Access for Interventions. 2023; PMID 36705706. [4] SIR diagnostic arteriography source, as cited in original, 2013; exact title/page not verified</t>
        </is>
      </c>
      <c r="D4" s="14" t="inlineStr">
        <is>
          <t>Define target territory and access; separate stroke risk from general diagnostic angiography; add specific access events and conditional contrast risks</t>
        </is>
      </c>
      <c r="E4" s="14" t="inlineStr">
        <is>
          <t>Recover exact SIR title, year, page and vascular-bed scope</t>
        </is>
      </c>
    </row>
    <row r="5">
      <c r="A5" s="14" t="inlineStr">
        <is>
          <t>Endovascular aneurysm repair (EVAR)</t>
        </is>
      </c>
      <c r="B5" s="14" t="inlineStr">
        <is>
          <t>Aortic endograft procedure; standard vs complex EVAR must be specified</t>
        </is>
      </c>
      <c r="C5" s="14" t="inlineStr">
        <is>
          <t>[5] SIR/CIRSE/CIRA. Clinical Practice Guidelines for Endovascular Abdominal Aortic Aneurysm Repair. 2010; primary PDF https://www.cirse.org/wp-content/uploads/2018/07/SOP_SIR_2010_Clinical-Practice-Guidelines-for-Endovascular-Abdominal-Aortic-Aneurysm-Repair.pdf. [6] CIRSE Standards of Practice on Management of Endoleaks Following EVAR. 2024; DOI 10.1007/s00270-023-03629-1; PMID 38216742</t>
        </is>
      </c>
      <c r="D5" s="14" t="inlineStr">
        <is>
          <t>Retain distinct endoleak, migration and limb occlusion; add limb/renal/visceral consequences; use 2024 CIRSE source only for endoleak component</t>
        </is>
      </c>
      <c r="E5" s="14" t="inlineStr">
        <is>
          <t>Confirm BSIR leaflet version/date and current local aortic standard</t>
        </is>
      </c>
    </row>
    <row r="6">
      <c r="A6" s="14" t="inlineStr">
        <is>
          <t>Gastrointestinal bleeding embolisation</t>
        </is>
      </c>
      <c r="B6" s="14" t="inlineStr">
        <is>
          <t>Territory-specific embolisation; distinguish upper/lower GI and collateral supply</t>
        </is>
      </c>
      <c r="C6" s="14" t="inlineStr">
        <is>
          <t>[7] Society of Interventional Radiology Quality Improvement Standards for Percutaneous Transcatheter Embolization. 2021; PMID 33640083. [8] Sacks et al. Quality improvement guidelines for transcatheter embolization for acute gastrointestinal nonvariceal hemorrhage. 2012; PMID 23150119</t>
        </is>
      </c>
      <c r="D6" s="14" t="inlineStr">
        <is>
          <t>Use 2021 general SIR and 2012 GI-specific sources; keep bowel injury distinct from recurrent bleeding; document territory-specific risk</t>
        </is>
      </c>
      <c r="E6" s="14" t="inlineStr">
        <is>
          <t>Verify exact pages in full source PDFs</t>
        </is>
      </c>
    </row>
    <row r="7">
      <c r="A7" s="14" t="inlineStr">
        <is>
          <t>Pelvic congestion / pelvic vein embolisation</t>
        </is>
      </c>
      <c r="B7" s="14" t="inlineStr">
        <is>
          <t>Venous embolisation; generic arterial embolisation guidance is not a direct standard</t>
        </is>
      </c>
      <c r="C7" s="14" t="inlineStr">
        <is>
          <t>[9] BSIR. Pelvic Congestion Syndrome and Pelvic Vein Embolisation patient information. Current webpage, accessed 2 Oct 2026; https://www.bsir.org/patients-1/patient-information-leaflets/adult-procedures/pelvic-congestion-syndrome-and-pelvic-vein-embolisation/; procedure-specific technical standard still to confirm</t>
        </is>
      </c>
      <c r="D7" s="14" t="inlineStr">
        <is>
          <t>Remove unrelated injury terms unless source supports them; use venous access, embolic material migration, venous injury and recurrence concepts</t>
        </is>
      </c>
      <c r="E7" s="14" t="inlineStr">
        <is>
          <t>Consult procedure-performing colleagues for exact devices and local practice</t>
        </is>
      </c>
    </row>
    <row r="8">
      <c r="A8" s="14" t="inlineStr">
        <is>
          <t>Percutaneous gastrostomy insertion</t>
        </is>
      </c>
      <c r="B8" s="14" t="inlineStr">
        <is>
          <t>Non-vascular procedure retained from original scope</t>
        </is>
      </c>
      <c r="C8" s="14" t="inlineStr">
        <is>
          <t>[11] Ryan et al. CIRSE/SIR multidisciplinary practical guidelines for gastrointestinal access for enteral nutrition and decompression. 2011; primary PDF https://www.cirse.org/wp-content/uploads/2018/07/SOP_SIR_2011_Multi-disciplinary-Practical-Guidelines-for-Gastrointestinal-Access-for-Enteral-Nutrition-and-Decompression.pdf</t>
        </is>
      </c>
      <c r="D8" s="14" t="inlineStr">
        <is>
          <t>Separate bleeding, peritonitis, infection and rare necrotising fasciitis; add organ injury, leak, tube malposition and failure</t>
        </is>
      </c>
      <c r="E8" s="14" t="inlineStr">
        <is>
          <t>Check a newer authoritative enteral-access source before final standard</t>
        </is>
      </c>
    </row>
    <row r="9">
      <c r="A9" s="14" t="inlineStr">
        <is>
          <t>Transjugular liver biopsy (TJLB)</t>
        </is>
      </c>
      <c r="B9" s="14" t="inlineStr">
        <is>
          <t>Use liver-biopsy guidance specific to transjugular route</t>
        </is>
      </c>
      <c r="C9" s="14" t="inlineStr">
        <is>
          <t>[12] Neuberger et al. Guidelines on the use of liver biopsy in clinical practice from BSG, RCR and RCPath. 2020; DOI 10.1136/gutjnl-2020-321299; PMID 32467090</t>
        </is>
      </c>
      <c r="D9" s="14" t="inlineStr">
        <is>
          <t>Replace generic organ injury with capsular perforation/bleeding, biliary injury and arrhythmia; remove tumour seeding from routine TJLB list without route-specific support</t>
        </is>
      </c>
      <c r="E9" s="14" t="inlineStr">
        <is>
          <t>Use exact TJLB section and tables in joint guideline</t>
        </is>
      </c>
    </row>
    <row r="10">
      <c r="A10" s="14" t="inlineStr">
        <is>
          <t>Peripheral arterial angioplasty +/- stenting</t>
        </is>
      </c>
      <c r="B10" s="14" t="inlineStr">
        <is>
          <t>CIRSE femoropopliteal rates apply only to that vascular bed</t>
        </is>
      </c>
      <c r="C10" s="14" t="inlineStr">
        <is>
          <t>[13] Katsanos et al. Standards of Practice for Superficial Femoral and Popliteal Artery Angioplasty and Stenting. CIRSE. 2014; https://www.cirse.org/wp-content/uploads/2018/11/2014_Superficial-Femoral-and-Popliteal-Artey-Stenting_Katsanos.pdf</t>
        </is>
      </c>
      <c r="D10" s="14" t="inlineStr">
        <is>
          <t>Merge duplicate haematoma; merge rupture wording; retain distinct dissection, embolisation and occlusion; add limb ischaemia/loss and recurrence</t>
        </is>
      </c>
      <c r="E10" s="14" t="inlineStr">
        <is>
          <t>Confirm treated vascular bed and device before applying any rates</t>
        </is>
      </c>
    </row>
    <row r="11">
      <c r="A11" s="14" t="inlineStr">
        <is>
          <t>Portal vein embolisation (PVE)</t>
        </is>
      </c>
      <c r="B11" s="14" t="inlineStr">
        <is>
          <t>Distinct from subsequent hepatectomy; include HVE/LVD risks only if performed</t>
        </is>
      </c>
      <c r="C11" s="14" t="inlineStr">
        <is>
          <t>[14] Bilhim et al. CIRSE Standards of Practice on Portal Vein Embolization and Double Vein Embolization/Liver Venous Deprivation. 2024; DOI 10.1007/s00270-024-03743-8; PMID 38884781</t>
        </is>
      </c>
      <c r="D11" s="14" t="inlineStr">
        <is>
          <t>Add source and infection/abscess/cholangitis, failure of hypertrophy, surgical dropout; separate downstream surgical outcomes</t>
        </is>
      </c>
      <c r="E11" s="14" t="inlineStr">
        <is>
          <t>Verify exact complication paragraph and distinguish PVE from LVD</t>
        </is>
      </c>
    </row>
    <row r="12">
      <c r="A12" s="14" t="inlineStr">
        <is>
          <t>Prostatic artery embolisation (PAE)</t>
        </is>
      </c>
      <c r="B12" s="14" t="inlineStr">
        <is>
          <t>Procedure-specific PAE adverse events; differentiate expected symptoms from complications</t>
        </is>
      </c>
      <c r="C12" s="14" t="inlineStr">
        <is>
          <t>[15] SIR Quality Improvement Guidelines for Prostatic Artery Embolization. 2020; exact final record/page requires verification. [16] Cornelis et al. CIRSE Standards of Practice on Prostatic Artery Embolisation. 2020 (online 2019); DOI 10.1007/s00270-019-02379-3; PMID 31792588</t>
        </is>
      </c>
      <c r="D12" s="14" t="inlineStr">
        <is>
          <t>Remove premature menopause and intramuscular bleeding; catheter insertion is process/aftercare; include specific non-target-organ harms and failure/recurrence</t>
        </is>
      </c>
      <c r="E12" s="14" t="inlineStr">
        <is>
          <t>Confirm exact SIR source record and local technique</t>
        </is>
      </c>
    </row>
    <row r="13">
      <c r="A13" s="14" t="inlineStr">
        <is>
          <t>Transarterial chemoembolisation (TACE)</t>
        </is>
      </c>
      <c r="B13" s="14" t="inlineStr">
        <is>
          <t>Hepatic TACE; distinguish expected post-embolisation syndrome from complication</t>
        </is>
      </c>
      <c r="C13" s="14" t="inlineStr">
        <is>
          <t>[17] Lucatelli et al. CIRSE Standards of Practice on Hepatic Transarterial Chemoembolisation. 2021; DOI 10.1007/s00270-021-02968-1; PMID 34694454</t>
        </is>
      </c>
      <c r="D13" s="14" t="inlineStr">
        <is>
          <t>Replace Academia.edu link with 2021 CIRSE SOP; merge liver failure terms; separate cholecystitis from biliary injury; label PES as expected symptom complex</t>
        </is>
      </c>
      <c r="E13" s="14" t="inlineStr">
        <is>
          <t>Verify exact section/page in full CIRSE SOP</t>
        </is>
      </c>
    </row>
    <row r="14">
      <c r="A14" s="14" t="inlineStr">
        <is>
          <t>Thoracic endovascular aortic repair (TEVAR)</t>
        </is>
      </c>
      <c r="B14" s="14" t="inlineStr">
        <is>
          <t>Descending thoracic aortic disease; applicability depends on indication and extent</t>
        </is>
      </c>
      <c r="C14" s="14" t="inlineStr">
        <is>
          <t>[18] Gupta et al. CIRSE Standards of Practice on the Endovascular Management of Descending Thoracic Aortic Disease. 2026; DOI 10.1007/s00270-026-04477-5; PMID 42545482. [19] SIR practice parameter for endovascular treatment of thoracic aortic aneurysms, 2010; SIR guideline index</t>
        </is>
      </c>
      <c r="D14" s="14" t="inlineStr">
        <is>
          <t>Add 2026 CIRSE SOP; include paraplegia and relevant aortic/malperfusion outcomes; tailor spinal cord risk to extent and collateral supply</t>
        </is>
      </c>
      <c r="E14" s="14" t="inlineStr">
        <is>
          <t>Confirm SOP was available by cut-off and local TEVAR indication</t>
        </is>
      </c>
    </row>
    <row r="15">
      <c r="A15" s="14" t="inlineStr">
        <is>
          <t>Thrombolysis of dialysis access</t>
        </is>
      </c>
      <c r="B15" s="14" t="inlineStr">
        <is>
          <t>Dialysis-access declot; distinguish from acute lower-limb thrombolysis</t>
        </is>
      </c>
      <c r="C15" s="14" t="inlineStr">
        <is>
          <t>[20] ACR-SIR Practice Parameter for Endovascular Management of the Thrombosed or Dysfunctional Dialysis Access; current online version https://gravitas.acr.org/PPTS/GetDocumentView?docId=143. [21] UK Kidney Association Clinical Practice Guideline on vascular access for haemodialysis. 2025; https://pmc.ncbi.nlm.nih.gov/articles/PMC12351868/</t>
        </is>
      </c>
      <c r="D15" s="14" t="inlineStr">
        <is>
          <t>Add current dialysis-access sources; distinguish thrombolytic risk from mechanical thrombectomy/PTA and document access loss/failure</t>
        </is>
      </c>
      <c r="E15" s="14" t="inlineStr">
        <is>
          <t>Validate with local dialysis-access operators and current parameter text</t>
        </is>
      </c>
    </row>
    <row r="16">
      <c r="A16" s="14" t="inlineStr">
        <is>
          <t>PTA of dialysis access</t>
        </is>
      </c>
      <c r="B16" s="14" t="inlineStr">
        <is>
          <t>Dialysis access angioplasty; distinct from thrombectomy/thrombolysis</t>
        </is>
      </c>
      <c r="C16" s="14" t="inlineStr">
        <is>
          <t>[20] ACR-SIR Practice Parameter for Endovascular Management of the Thrombosed or Dysfunctional Dialysis Access; current online version https://gravitas.acr.org/PPTS/GetDocumentView?docId=143. [21] UK Kidney Association Clinical Practice Guideline on vascular access for haemodialysis. 2025; https://pmc.ncbi.nlm.nih.gov/articles/PMC12351868/</t>
        </is>
      </c>
      <c r="D16" s="14" t="inlineStr">
        <is>
          <t>Add sources; remove generic PE/stroke/death absent procedure-specific evidence; clarify “discharge”; add rupture, thrombosis, steal and access loss</t>
        </is>
      </c>
      <c r="E16" s="14" t="inlineStr">
        <is>
          <t>Check original workbook wording and with local operators</t>
        </is>
      </c>
    </row>
    <row r="17">
      <c r="A17" s="14" t="inlineStr">
        <is>
          <t>Transjugular intrahepatic portosystemic shunt (TIPS)</t>
        </is>
      </c>
      <c r="B17" s="14" t="inlineStr">
        <is>
          <t>Correct worksheet spelling “TIPPS”; current TIPS guidance</t>
        </is>
      </c>
      <c r="C17" s="14" t="inlineStr">
        <is>
          <t>[22] Lucatelli et al. CIRSE Standards of Practice on Transjugular Intrahepatic Portosystemic Shunts. 2024; DOI 10.1007/s00270-024-03866-y; PMID 39550753. [23] BSIR/RCR TIPS patient leaflet; current hosted PDF states approved 25 Feb 2011</t>
        </is>
      </c>
      <c r="D17" s="14" t="inlineStr">
        <is>
          <t>Use CIRSE 2024 as lead source; “confusion” -&gt; new/worsened hepatic encephalopathy; verify hosted BSIR leaflet is approved 2011, not 2025</t>
        </is>
      </c>
      <c r="E17" s="14" t="inlineStr">
        <is>
          <t>Confirm precise current BSIR leaflet version and local TIPS pathway</t>
        </is>
      </c>
    </row>
    <row r="18">
      <c r="A18" s="14" t="inlineStr">
        <is>
          <t>Tunneled dialysis catheter insertion</t>
        </is>
      </c>
      <c r="B18" s="14" t="inlineStr">
        <is>
          <t>Tunneled haemodialysis catheter; separate insertion events from delayed catheter complications</t>
        </is>
      </c>
      <c r="C18" s="14" t="inlineStr">
        <is>
          <t>[21] UK Kidney Association Clinical Practice Guideline on vascular access for haemodialysis. 2025; https://pmc.ncbi.nlm.nih.gov/articles/PMC12351868/. [24] Schröppel et al. Placement of tunnelled haemodialysis catheters—interventional standard. Online 2024/print 2025; DOI 10.1093/ndt/gfae181; PMID 39152048. [40] ACR Appropriateness Criteria Central Venous Access Device and Site Selection. 2023; DOI 10.1016/j.jacr.2023.02.021; PMID 37236750</t>
        </is>
      </c>
      <c r="D18" s="14" t="inlineStr">
        <is>
          <t>Delete BTS pleural guideline citation; replace “stent migration” with catheter malposition/dislodgement; remove unrelated stroke/MI/limb ischaemia/hemopericardium as routine risks; add air embolism and malfunction</t>
        </is>
      </c>
      <c r="E18" s="14" t="inlineStr">
        <is>
          <t>Use current central venous access and haemodialysis catheter standards; exact source list updated</t>
        </is>
      </c>
    </row>
    <row r="19">
      <c r="A19" s="14" t="inlineStr">
        <is>
          <t>Uterine artery embolisation for fibroids (UAE)</t>
        </is>
      </c>
      <c r="B19" s="14" t="inlineStr">
        <is>
          <t>Fibroid UAE; fertility and ovarian function discussion should be individualised</t>
        </is>
      </c>
      <c r="C19" s="14" t="inlineStr">
        <is>
          <t>[25] SIR Quality Improvement Guidelines for Uterine Artery Embolization for Symptomatic Leiomyomata. Listed by SIR in 2025; exact final record/page to verify via SIR library. [26] CIRSE Uterine Artery Embolisation patient information. 2025; https://www.cirse.org/wp-content/uploads/2025/03/cirse_PIB_2025_uterine_artery_embolization_EN.pdf</t>
        </is>
      </c>
      <c r="D19" s="14" t="inlineStr">
        <is>
          <t>Update 2014 SIR source; separate common PES from infection/rare ischaemic injury; discuss ovarian/fertility risks in context</t>
        </is>
      </c>
      <c r="E19" s="14" t="inlineStr">
        <is>
          <t>Verify exact final 2025 SIR bibliographic record and applicability</t>
        </is>
      </c>
    </row>
    <row r="20">
      <c r="A20" s="14" t="inlineStr">
        <is>
          <t>Varicocele embolisation</t>
        </is>
      </c>
      <c r="B20" s="14" t="inlineStr">
        <is>
          <t>Procedure-specific venous embolisation</t>
        </is>
      </c>
      <c r="C20" s="14" t="inlineStr">
        <is>
          <t>[27] Kably et al. CIRSE Standards of Practice on Varicocele Embolisation. 2022; PMID 36380154. [28] CIRSE Embolization for Varicoceles patient information; current webpage, accessed 2 Oct 2026</t>
        </is>
      </c>
      <c r="D20" s="14" t="inlineStr">
        <is>
          <t>Use 2022 CIRSE standard as lead source; add venous injury and thrombophlebitis; retain leaflet rate only with context</t>
        </is>
      </c>
      <c r="E20" s="14" t="inlineStr">
        <is>
          <t>Confirm whether coil, plug, glue or other agent used locally</t>
        </is>
      </c>
    </row>
    <row r="21">
      <c r="A21" s="14" t="inlineStr">
        <is>
          <t>Venous stenting</t>
        </is>
      </c>
      <c r="B21" s="14" t="inlineStr">
        <is>
          <t>Specify vascular bed and indication; iliocaval guideline not universal to all veins</t>
        </is>
      </c>
      <c r="C21" s="14" t="inlineStr">
        <is>
          <t>[29] Mahnken et al. CIRSE Standards of Practice Guidelines on Iliocaval Stenting. 2014; DOI 10.1007/s00270-014-0875-4; PMID 24633533. [30] Major Complications of Deep Venous Stenting. 2024; PMID 39214918</t>
        </is>
      </c>
      <c r="D21" s="14" t="inlineStr">
        <is>
          <t>Specify target venous bed; use 2014 CIRSE only for iliocaval obstruction; PE is conditional on thrombotic/embolic context</t>
        </is>
      </c>
      <c r="E21" s="14" t="inlineStr">
        <is>
          <t>Review local stent indications, devices and antithrombotic regimen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2026-10-02T10:14:47Z</dcterms:created>
  <dcterms:modified xmlns:dcterms="http://purl.org/dc/terms/" xmlns:xsi="http://www.w3.org/2001/XMLSchema-instance" xsi:type="dcterms:W3CDTF">2026-10-02T10:14:48Z</dcterms:modified>
</cp:coreProperties>
</file>